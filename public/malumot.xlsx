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981A831-D254-45A5-A8E7-68D25EE63004}" xr6:coauthVersionLast="47" xr6:coauthVersionMax="47" xr10:uidLastSave="{00000000-0000-0000-0000-000000000000}"/>
  <bookViews>
    <workbookView xWindow="-37800" yWindow="3135" windowWidth="28170" windowHeight="14760" xr2:uid="{DFD11C8E-B47D-41F0-A2AC-A4D70B8CDA2F}"/>
  </bookViews>
  <sheets>
    <sheet name="Шахс-жинояти-2026" sheetId="4" r:id="rId1"/>
    <sheet name="аниқланадиган 2026" sheetId="3" r:id="rId2"/>
    <sheet name="Олдини олиш-2026" sheetId="2" r:id="rId3"/>
    <sheet name="жами-2026" sheetId="1" r:id="rId4"/>
  </sheets>
  <externalReferences>
    <externalReference r:id="rId5"/>
  </externalReferences>
  <definedNames>
    <definedName name="_xlnm._FilterDatabase" localSheetId="3" hidden="1">'жами-2026'!#REF!</definedName>
    <definedName name="_xlnm.Database">#REF!</definedName>
    <definedName name="_xlnm.Print_Area" localSheetId="1">'аниқланадиган 2026'!$A$1:$X$24</definedName>
    <definedName name="_xlnm.Print_Area" localSheetId="3">'жами-2026'!$A$1:$AB$23</definedName>
    <definedName name="_xlnm.Print_Area" localSheetId="2">'Олдини олиш-2026'!$A$1:$AB$22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4" l="1"/>
  <c r="N21" i="4"/>
  <c r="O21" i="4" s="1"/>
  <c r="L21" i="4"/>
  <c r="M21" i="4" s="1"/>
  <c r="J21" i="4"/>
  <c r="K21" i="4" s="1"/>
  <c r="H21" i="4"/>
  <c r="F21" i="4"/>
  <c r="G21" i="4" s="1"/>
  <c r="D21" i="4"/>
  <c r="E21" i="4" s="1"/>
  <c r="C21" i="4"/>
  <c r="Q21" i="4" s="1"/>
  <c r="Q20" i="4"/>
  <c r="O20" i="4"/>
  <c r="M20" i="4"/>
  <c r="K20" i="4"/>
  <c r="I20" i="4"/>
  <c r="G20" i="4"/>
  <c r="E20" i="4"/>
  <c r="Q19" i="4"/>
  <c r="O19" i="4"/>
  <c r="M19" i="4"/>
  <c r="K19" i="4"/>
  <c r="I19" i="4"/>
  <c r="G19" i="4"/>
  <c r="E19" i="4"/>
  <c r="Q18" i="4"/>
  <c r="O18" i="4"/>
  <c r="M18" i="4"/>
  <c r="K18" i="4"/>
  <c r="I18" i="4"/>
  <c r="G18" i="4"/>
  <c r="E18" i="4"/>
  <c r="Q17" i="4"/>
  <c r="O17" i="4"/>
  <c r="M17" i="4"/>
  <c r="K17" i="4"/>
  <c r="I17" i="4"/>
  <c r="G17" i="4"/>
  <c r="E17" i="4"/>
  <c r="Q16" i="4"/>
  <c r="O16" i="4"/>
  <c r="M16" i="4"/>
  <c r="K16" i="4"/>
  <c r="I16" i="4"/>
  <c r="G16" i="4"/>
  <c r="E16" i="4"/>
  <c r="Q15" i="4"/>
  <c r="O15" i="4"/>
  <c r="M15" i="4"/>
  <c r="K15" i="4"/>
  <c r="I15" i="4"/>
  <c r="G15" i="4"/>
  <c r="E15" i="4"/>
  <c r="Q14" i="4"/>
  <c r="O14" i="4"/>
  <c r="M14" i="4"/>
  <c r="K14" i="4"/>
  <c r="I14" i="4"/>
  <c r="G14" i="4"/>
  <c r="E14" i="4"/>
  <c r="Q13" i="4"/>
  <c r="O13" i="4"/>
  <c r="M13" i="4"/>
  <c r="K13" i="4"/>
  <c r="I13" i="4"/>
  <c r="G13" i="4"/>
  <c r="E13" i="4"/>
  <c r="Q12" i="4"/>
  <c r="O12" i="4"/>
  <c r="M12" i="4"/>
  <c r="K12" i="4"/>
  <c r="I12" i="4"/>
  <c r="G12" i="4"/>
  <c r="E12" i="4"/>
  <c r="Q11" i="4"/>
  <c r="O11" i="4"/>
  <c r="M11" i="4"/>
  <c r="K11" i="4"/>
  <c r="I11" i="4"/>
  <c r="G11" i="4"/>
  <c r="E11" i="4"/>
  <c r="Q10" i="4"/>
  <c r="O10" i="4"/>
  <c r="M10" i="4"/>
  <c r="K10" i="4"/>
  <c r="I10" i="4"/>
  <c r="G10" i="4"/>
  <c r="E10" i="4"/>
  <c r="Q9" i="4"/>
  <c r="O9" i="4"/>
  <c r="M9" i="4"/>
  <c r="K9" i="4"/>
  <c r="I9" i="4"/>
  <c r="G9" i="4"/>
  <c r="E9" i="4"/>
  <c r="Q8" i="4"/>
  <c r="O8" i="4"/>
  <c r="M8" i="4"/>
  <c r="K8" i="4"/>
  <c r="I8" i="4"/>
  <c r="G8" i="4"/>
  <c r="E8" i="4"/>
  <c r="Q7" i="4"/>
  <c r="O7" i="4"/>
  <c r="M7" i="4"/>
  <c r="K7" i="4"/>
  <c r="I7" i="4"/>
  <c r="G7" i="4"/>
  <c r="E7" i="4"/>
  <c r="Q6" i="4"/>
  <c r="O6" i="4"/>
  <c r="M6" i="4"/>
  <c r="K6" i="4"/>
  <c r="I6" i="4"/>
  <c r="G6" i="4"/>
  <c r="E6" i="4"/>
  <c r="W21" i="3"/>
  <c r="X21" i="3" s="1"/>
  <c r="U21" i="3"/>
  <c r="V21" i="3" s="1"/>
  <c r="S21" i="3"/>
  <c r="T21" i="3" s="1"/>
  <c r="Q21" i="3"/>
  <c r="R21" i="3" s="1"/>
  <c r="O21" i="3"/>
  <c r="P21" i="3" s="1"/>
  <c r="M21" i="3"/>
  <c r="N21" i="3" s="1"/>
  <c r="K21" i="3"/>
  <c r="L21" i="3" s="1"/>
  <c r="I21" i="3"/>
  <c r="J21" i="3" s="1"/>
  <c r="G21" i="3"/>
  <c r="H21" i="3" s="1"/>
  <c r="E21" i="3"/>
  <c r="F21" i="3" s="1"/>
  <c r="C21" i="3"/>
  <c r="D21" i="3" s="1"/>
  <c r="X20" i="3"/>
  <c r="V20" i="3"/>
  <c r="T20" i="3"/>
  <c r="R20" i="3"/>
  <c r="P20" i="3"/>
  <c r="N20" i="3"/>
  <c r="L20" i="3"/>
  <c r="J20" i="3"/>
  <c r="H20" i="3"/>
  <c r="F20" i="3"/>
  <c r="D20" i="3"/>
  <c r="X19" i="3"/>
  <c r="V19" i="3"/>
  <c r="T19" i="3"/>
  <c r="R19" i="3"/>
  <c r="P19" i="3"/>
  <c r="N19" i="3"/>
  <c r="L19" i="3"/>
  <c r="J19" i="3"/>
  <c r="H19" i="3"/>
  <c r="F19" i="3"/>
  <c r="D19" i="3"/>
  <c r="X18" i="3"/>
  <c r="V18" i="3"/>
  <c r="T18" i="3"/>
  <c r="R18" i="3"/>
  <c r="P18" i="3"/>
  <c r="N18" i="3"/>
  <c r="L18" i="3"/>
  <c r="J18" i="3"/>
  <c r="H18" i="3"/>
  <c r="F18" i="3"/>
  <c r="D18" i="3"/>
  <c r="X17" i="3"/>
  <c r="V17" i="3"/>
  <c r="T17" i="3"/>
  <c r="R17" i="3"/>
  <c r="P17" i="3"/>
  <c r="N17" i="3"/>
  <c r="L17" i="3"/>
  <c r="J17" i="3"/>
  <c r="H17" i="3"/>
  <c r="F17" i="3"/>
  <c r="D17" i="3"/>
  <c r="X16" i="3"/>
  <c r="V16" i="3"/>
  <c r="T16" i="3"/>
  <c r="R16" i="3"/>
  <c r="P16" i="3"/>
  <c r="N16" i="3"/>
  <c r="L16" i="3"/>
  <c r="J16" i="3"/>
  <c r="H16" i="3"/>
  <c r="F16" i="3"/>
  <c r="D16" i="3"/>
  <c r="X15" i="3"/>
  <c r="V15" i="3"/>
  <c r="T15" i="3"/>
  <c r="R15" i="3"/>
  <c r="P15" i="3"/>
  <c r="N15" i="3"/>
  <c r="L15" i="3"/>
  <c r="J15" i="3"/>
  <c r="H15" i="3"/>
  <c r="F15" i="3"/>
  <c r="D15" i="3"/>
  <c r="X14" i="3"/>
  <c r="V14" i="3"/>
  <c r="T14" i="3"/>
  <c r="R14" i="3"/>
  <c r="P14" i="3"/>
  <c r="N14" i="3"/>
  <c r="L14" i="3"/>
  <c r="J14" i="3"/>
  <c r="H14" i="3"/>
  <c r="F14" i="3"/>
  <c r="D14" i="3"/>
  <c r="X13" i="3"/>
  <c r="V13" i="3"/>
  <c r="T13" i="3"/>
  <c r="R13" i="3"/>
  <c r="P13" i="3"/>
  <c r="N13" i="3"/>
  <c r="L13" i="3"/>
  <c r="J13" i="3"/>
  <c r="H13" i="3"/>
  <c r="F13" i="3"/>
  <c r="D13" i="3"/>
  <c r="X12" i="3"/>
  <c r="V12" i="3"/>
  <c r="T12" i="3"/>
  <c r="R12" i="3"/>
  <c r="P12" i="3"/>
  <c r="N12" i="3"/>
  <c r="L12" i="3"/>
  <c r="J12" i="3"/>
  <c r="H12" i="3"/>
  <c r="F12" i="3"/>
  <c r="D12" i="3"/>
  <c r="X11" i="3"/>
  <c r="V11" i="3"/>
  <c r="T11" i="3"/>
  <c r="R11" i="3"/>
  <c r="P11" i="3"/>
  <c r="N11" i="3"/>
  <c r="L11" i="3"/>
  <c r="J11" i="3"/>
  <c r="H11" i="3"/>
  <c r="F11" i="3"/>
  <c r="D11" i="3"/>
  <c r="X10" i="3"/>
  <c r="V10" i="3"/>
  <c r="T10" i="3"/>
  <c r="R10" i="3"/>
  <c r="P10" i="3"/>
  <c r="N10" i="3"/>
  <c r="L10" i="3"/>
  <c r="J10" i="3"/>
  <c r="H10" i="3"/>
  <c r="F10" i="3"/>
  <c r="D10" i="3"/>
  <c r="X9" i="3"/>
  <c r="V9" i="3"/>
  <c r="T9" i="3"/>
  <c r="R9" i="3"/>
  <c r="P9" i="3"/>
  <c r="N9" i="3"/>
  <c r="L9" i="3"/>
  <c r="J9" i="3"/>
  <c r="H9" i="3"/>
  <c r="F9" i="3"/>
  <c r="D9" i="3"/>
  <c r="X8" i="3"/>
  <c r="V8" i="3"/>
  <c r="T8" i="3"/>
  <c r="R8" i="3"/>
  <c r="P8" i="3"/>
  <c r="N8" i="3"/>
  <c r="L8" i="3"/>
  <c r="J8" i="3"/>
  <c r="H8" i="3"/>
  <c r="F8" i="3"/>
  <c r="D8" i="3"/>
  <c r="X7" i="3"/>
  <c r="V7" i="3"/>
  <c r="T7" i="3"/>
  <c r="R7" i="3"/>
  <c r="P7" i="3"/>
  <c r="N7" i="3"/>
  <c r="L7" i="3"/>
  <c r="J7" i="3"/>
  <c r="H7" i="3"/>
  <c r="F7" i="3"/>
  <c r="D7" i="3"/>
  <c r="X6" i="3"/>
  <c r="V6" i="3"/>
  <c r="T6" i="3"/>
  <c r="R6" i="3"/>
  <c r="P6" i="3"/>
  <c r="N6" i="3"/>
  <c r="L6" i="3"/>
  <c r="J6" i="3"/>
  <c r="H6" i="3"/>
  <c r="F6" i="3"/>
  <c r="D6" i="3"/>
  <c r="AA21" i="2"/>
  <c r="AB21" i="2" s="1"/>
  <c r="Y21" i="2"/>
  <c r="Z21" i="2" s="1"/>
  <c r="W21" i="2"/>
  <c r="X21" i="2" s="1"/>
  <c r="U21" i="2"/>
  <c r="V21" i="2" s="1"/>
  <c r="S21" i="2"/>
  <c r="T21" i="2" s="1"/>
  <c r="Q21" i="2"/>
  <c r="R21" i="2" s="1"/>
  <c r="O21" i="2"/>
  <c r="P21" i="2" s="1"/>
  <c r="M21" i="2"/>
  <c r="N21" i="2" s="1"/>
  <c r="K21" i="2"/>
  <c r="L21" i="2" s="1"/>
  <c r="I21" i="2"/>
  <c r="J21" i="2" s="1"/>
  <c r="G21" i="2"/>
  <c r="H21" i="2" s="1"/>
  <c r="E21" i="2"/>
  <c r="F21" i="2" s="1"/>
  <c r="C21" i="2"/>
  <c r="D21" i="2" s="1"/>
  <c r="AB19" i="2"/>
  <c r="Z19" i="2"/>
  <c r="X19" i="2"/>
  <c r="V19" i="2"/>
  <c r="T19" i="2"/>
  <c r="R19" i="2"/>
  <c r="P19" i="2"/>
  <c r="N19" i="2"/>
  <c r="L19" i="2"/>
  <c r="J19" i="2"/>
  <c r="H19" i="2"/>
  <c r="F19" i="2"/>
  <c r="D19" i="2"/>
  <c r="AB18" i="2"/>
  <c r="Z18" i="2"/>
  <c r="X18" i="2"/>
  <c r="V18" i="2"/>
  <c r="T18" i="2"/>
  <c r="R18" i="2"/>
  <c r="P18" i="2"/>
  <c r="N18" i="2"/>
  <c r="L18" i="2"/>
  <c r="J18" i="2"/>
  <c r="H18" i="2"/>
  <c r="F18" i="2"/>
  <c r="D18" i="2"/>
  <c r="AB17" i="2"/>
  <c r="Z17" i="2"/>
  <c r="X17" i="2"/>
  <c r="V17" i="2"/>
  <c r="T17" i="2"/>
  <c r="R17" i="2"/>
  <c r="P17" i="2"/>
  <c r="N17" i="2"/>
  <c r="L17" i="2"/>
  <c r="J17" i="2"/>
  <c r="H17" i="2"/>
  <c r="F17" i="2"/>
  <c r="D17" i="2"/>
  <c r="AB16" i="2"/>
  <c r="Z16" i="2"/>
  <c r="X16" i="2"/>
  <c r="V16" i="2"/>
  <c r="T16" i="2"/>
  <c r="R16" i="2"/>
  <c r="P16" i="2"/>
  <c r="N16" i="2"/>
  <c r="L16" i="2"/>
  <c r="J16" i="2"/>
  <c r="H16" i="2"/>
  <c r="F16" i="2"/>
  <c r="D16" i="2"/>
  <c r="AB15" i="2"/>
  <c r="Z15" i="2"/>
  <c r="X15" i="2"/>
  <c r="V15" i="2"/>
  <c r="T15" i="2"/>
  <c r="R15" i="2"/>
  <c r="P15" i="2"/>
  <c r="N15" i="2"/>
  <c r="L15" i="2"/>
  <c r="J15" i="2"/>
  <c r="H15" i="2"/>
  <c r="F15" i="2"/>
  <c r="D15" i="2"/>
  <c r="AB14" i="2"/>
  <c r="Z14" i="2"/>
  <c r="X14" i="2"/>
  <c r="V14" i="2"/>
  <c r="T14" i="2"/>
  <c r="R14" i="2"/>
  <c r="P14" i="2"/>
  <c r="N14" i="2"/>
  <c r="L14" i="2"/>
  <c r="J14" i="2"/>
  <c r="H14" i="2"/>
  <c r="F14" i="2"/>
  <c r="D14" i="2"/>
  <c r="AB13" i="2"/>
  <c r="Z13" i="2"/>
  <c r="X13" i="2"/>
  <c r="V13" i="2"/>
  <c r="T13" i="2"/>
  <c r="R13" i="2"/>
  <c r="P13" i="2"/>
  <c r="N13" i="2"/>
  <c r="L13" i="2"/>
  <c r="J13" i="2"/>
  <c r="H13" i="2"/>
  <c r="F13" i="2"/>
  <c r="D13" i="2"/>
  <c r="AB12" i="2"/>
  <c r="Z12" i="2"/>
  <c r="X12" i="2"/>
  <c r="V12" i="2"/>
  <c r="T12" i="2"/>
  <c r="R12" i="2"/>
  <c r="P12" i="2"/>
  <c r="N12" i="2"/>
  <c r="L12" i="2"/>
  <c r="J12" i="2"/>
  <c r="H12" i="2"/>
  <c r="F12" i="2"/>
  <c r="D12" i="2"/>
  <c r="AB11" i="2"/>
  <c r="Z11" i="2"/>
  <c r="X11" i="2"/>
  <c r="V11" i="2"/>
  <c r="T11" i="2"/>
  <c r="R11" i="2"/>
  <c r="P11" i="2"/>
  <c r="N11" i="2"/>
  <c r="L11" i="2"/>
  <c r="J11" i="2"/>
  <c r="H11" i="2"/>
  <c r="F11" i="2"/>
  <c r="D11" i="2"/>
  <c r="AB10" i="2"/>
  <c r="Z10" i="2"/>
  <c r="X10" i="2"/>
  <c r="V10" i="2"/>
  <c r="T10" i="2"/>
  <c r="R10" i="2"/>
  <c r="P10" i="2"/>
  <c r="N10" i="2"/>
  <c r="L10" i="2"/>
  <c r="J10" i="2"/>
  <c r="H10" i="2"/>
  <c r="F10" i="2"/>
  <c r="D10" i="2"/>
  <c r="AB9" i="2"/>
  <c r="Z9" i="2"/>
  <c r="X9" i="2"/>
  <c r="V9" i="2"/>
  <c r="T9" i="2"/>
  <c r="R9" i="2"/>
  <c r="P9" i="2"/>
  <c r="N9" i="2"/>
  <c r="L9" i="2"/>
  <c r="J9" i="2"/>
  <c r="H9" i="2"/>
  <c r="F9" i="2"/>
  <c r="D9" i="2"/>
  <c r="AB8" i="2"/>
  <c r="Z8" i="2"/>
  <c r="X8" i="2"/>
  <c r="V8" i="2"/>
  <c r="T8" i="2"/>
  <c r="R8" i="2"/>
  <c r="P8" i="2"/>
  <c r="N8" i="2"/>
  <c r="L8" i="2"/>
  <c r="J8" i="2"/>
  <c r="H8" i="2"/>
  <c r="F8" i="2"/>
  <c r="D8" i="2"/>
  <c r="AB7" i="2"/>
  <c r="Z7" i="2"/>
  <c r="X7" i="2"/>
  <c r="V7" i="2"/>
  <c r="T7" i="2"/>
  <c r="R7" i="2"/>
  <c r="P7" i="2"/>
  <c r="N7" i="2"/>
  <c r="L7" i="2"/>
  <c r="J7" i="2"/>
  <c r="H7" i="2"/>
  <c r="F7" i="2"/>
  <c r="D7" i="2"/>
  <c r="AB6" i="2"/>
  <c r="Z6" i="2"/>
  <c r="X6" i="2"/>
  <c r="V6" i="2"/>
  <c r="T6" i="2"/>
  <c r="R6" i="2"/>
  <c r="P6" i="2"/>
  <c r="N6" i="2"/>
  <c r="L6" i="2"/>
  <c r="J6" i="2"/>
  <c r="H6" i="2"/>
  <c r="F6" i="2"/>
  <c r="D6" i="2"/>
  <c r="Z22" i="1"/>
  <c r="AA22" i="1" s="1"/>
  <c r="X22" i="1"/>
  <c r="Y22" i="1" s="1"/>
  <c r="V22" i="1"/>
  <c r="W22" i="1" s="1"/>
  <c r="U22" i="1"/>
  <c r="T22" i="1"/>
  <c r="R22" i="1"/>
  <c r="S22" i="1" s="1"/>
  <c r="P22" i="1"/>
  <c r="Q22" i="1" s="1"/>
  <c r="N22" i="1"/>
  <c r="O22" i="1" s="1"/>
  <c r="M22" i="1"/>
  <c r="L22" i="1"/>
  <c r="J22" i="1"/>
  <c r="K22" i="1" s="1"/>
  <c r="H22" i="1"/>
  <c r="I22" i="1" s="1"/>
  <c r="F22" i="1"/>
  <c r="G22" i="1" s="1"/>
  <c r="D22" i="1"/>
  <c r="E22" i="1" s="1"/>
  <c r="C22" i="1"/>
  <c r="AB21" i="1"/>
  <c r="AA21" i="1"/>
  <c r="Y21" i="1"/>
  <c r="W21" i="1"/>
  <c r="S21" i="1"/>
  <c r="Q21" i="1"/>
  <c r="O21" i="1"/>
  <c r="K21" i="1"/>
  <c r="I21" i="1"/>
  <c r="G21" i="1"/>
  <c r="AB20" i="1"/>
  <c r="AA20" i="1"/>
  <c r="Y20" i="1"/>
  <c r="W20" i="1"/>
  <c r="U20" i="1"/>
  <c r="S20" i="1"/>
  <c r="Q20" i="1"/>
  <c r="O20" i="1"/>
  <c r="M20" i="1"/>
  <c r="K20" i="1"/>
  <c r="I20" i="1"/>
  <c r="G20" i="1"/>
  <c r="E20" i="1"/>
  <c r="AB19" i="1"/>
  <c r="AA19" i="1"/>
  <c r="Y19" i="1"/>
  <c r="W19" i="1"/>
  <c r="U19" i="1"/>
  <c r="S19" i="1"/>
  <c r="Q19" i="1"/>
  <c r="O19" i="1"/>
  <c r="M19" i="1"/>
  <c r="K19" i="1"/>
  <c r="I19" i="1"/>
  <c r="G19" i="1"/>
  <c r="E19" i="1"/>
  <c r="AB18" i="1"/>
  <c r="AA18" i="1"/>
  <c r="Y18" i="1"/>
  <c r="W18" i="1"/>
  <c r="U18" i="1"/>
  <c r="S18" i="1"/>
  <c r="Q18" i="1"/>
  <c r="O18" i="1"/>
  <c r="M18" i="1"/>
  <c r="K18" i="1"/>
  <c r="I18" i="1"/>
  <c r="G18" i="1"/>
  <c r="E18" i="1"/>
  <c r="AB17" i="1"/>
  <c r="AA17" i="1"/>
  <c r="Y17" i="1"/>
  <c r="W17" i="1"/>
  <c r="U17" i="1"/>
  <c r="S17" i="1"/>
  <c r="Q17" i="1"/>
  <c r="O17" i="1"/>
  <c r="M17" i="1"/>
  <c r="K17" i="1"/>
  <c r="I17" i="1"/>
  <c r="G17" i="1"/>
  <c r="E17" i="1"/>
  <c r="AB16" i="1"/>
  <c r="AA16" i="1"/>
  <c r="Y16" i="1"/>
  <c r="W16" i="1"/>
  <c r="U16" i="1"/>
  <c r="S16" i="1"/>
  <c r="Q16" i="1"/>
  <c r="O16" i="1"/>
  <c r="M16" i="1"/>
  <c r="K16" i="1"/>
  <c r="I16" i="1"/>
  <c r="G16" i="1"/>
  <c r="E16" i="1"/>
  <c r="AB15" i="1"/>
  <c r="AA15" i="1"/>
  <c r="Y15" i="1"/>
  <c r="W15" i="1"/>
  <c r="U15" i="1"/>
  <c r="S15" i="1"/>
  <c r="Q15" i="1"/>
  <c r="O15" i="1"/>
  <c r="M15" i="1"/>
  <c r="K15" i="1"/>
  <c r="I15" i="1"/>
  <c r="G15" i="1"/>
  <c r="E15" i="1"/>
  <c r="AB14" i="1"/>
  <c r="AA14" i="1"/>
  <c r="Y14" i="1"/>
  <c r="W14" i="1"/>
  <c r="U14" i="1"/>
  <c r="S14" i="1"/>
  <c r="Q14" i="1"/>
  <c r="O14" i="1"/>
  <c r="M14" i="1"/>
  <c r="K14" i="1"/>
  <c r="I14" i="1"/>
  <c r="G14" i="1"/>
  <c r="E14" i="1"/>
  <c r="AB13" i="1"/>
  <c r="AA13" i="1"/>
  <c r="Y13" i="1"/>
  <c r="W13" i="1"/>
  <c r="U13" i="1"/>
  <c r="S13" i="1"/>
  <c r="Q13" i="1"/>
  <c r="O13" i="1"/>
  <c r="M13" i="1"/>
  <c r="K13" i="1"/>
  <c r="I13" i="1"/>
  <c r="G13" i="1"/>
  <c r="E13" i="1"/>
  <c r="AB12" i="1"/>
  <c r="AA12" i="1"/>
  <c r="Y12" i="1"/>
  <c r="W12" i="1"/>
  <c r="U12" i="1"/>
  <c r="S12" i="1"/>
  <c r="Q12" i="1"/>
  <c r="O12" i="1"/>
  <c r="M12" i="1"/>
  <c r="K12" i="1"/>
  <c r="I12" i="1"/>
  <c r="G12" i="1"/>
  <c r="E12" i="1"/>
  <c r="AB11" i="1"/>
  <c r="AA11" i="1"/>
  <c r="Y11" i="1"/>
  <c r="W11" i="1"/>
  <c r="U11" i="1"/>
  <c r="S11" i="1"/>
  <c r="Q11" i="1"/>
  <c r="O11" i="1"/>
  <c r="M11" i="1"/>
  <c r="K11" i="1"/>
  <c r="I11" i="1"/>
  <c r="G11" i="1"/>
  <c r="E11" i="1"/>
  <c r="AB10" i="1"/>
  <c r="AA10" i="1"/>
  <c r="Y10" i="1"/>
  <c r="W10" i="1"/>
  <c r="U10" i="1"/>
  <c r="S10" i="1"/>
  <c r="Q10" i="1"/>
  <c r="O10" i="1"/>
  <c r="M10" i="1"/>
  <c r="K10" i="1"/>
  <c r="I10" i="1"/>
  <c r="G10" i="1"/>
  <c r="E10" i="1"/>
  <c r="AB9" i="1"/>
  <c r="AA9" i="1"/>
  <c r="Y9" i="1"/>
  <c r="W9" i="1"/>
  <c r="U9" i="1"/>
  <c r="S9" i="1"/>
  <c r="Q9" i="1"/>
  <c r="O9" i="1"/>
  <c r="M9" i="1"/>
  <c r="K9" i="1"/>
  <c r="I9" i="1"/>
  <c r="G9" i="1"/>
  <c r="E9" i="1"/>
  <c r="AB8" i="1"/>
  <c r="AA8" i="1"/>
  <c r="Y8" i="1"/>
  <c r="W8" i="1"/>
  <c r="U8" i="1"/>
  <c r="S8" i="1"/>
  <c r="Q8" i="1"/>
  <c r="O8" i="1"/>
  <c r="M8" i="1"/>
  <c r="K8" i="1"/>
  <c r="I8" i="1"/>
  <c r="G8" i="1"/>
  <c r="E8" i="1"/>
  <c r="AB7" i="1"/>
  <c r="AB22" i="1" s="1"/>
  <c r="AA7" i="1"/>
  <c r="Y7" i="1"/>
  <c r="W7" i="1"/>
  <c r="U7" i="1"/>
  <c r="S7" i="1"/>
  <c r="Q7" i="1"/>
  <c r="O7" i="1"/>
  <c r="M7" i="1"/>
  <c r="K7" i="1"/>
  <c r="I7" i="1"/>
  <c r="G7" i="1"/>
  <c r="E7" i="1"/>
  <c r="I21" i="4" l="1"/>
</calcChain>
</file>

<file path=xl/sharedStrings.xml><?xml version="1.0" encoding="utf-8"?>
<sst xmlns="http://schemas.openxmlformats.org/spreadsheetml/2006/main" count="222" uniqueCount="86">
  <si>
    <r>
      <t xml:space="preserve">2026  йил 6 ойида  </t>
    </r>
    <r>
      <rPr>
        <b/>
        <sz val="14"/>
        <color rgb="FF0000FF"/>
        <rFont val="Calibri"/>
        <family val="2"/>
        <charset val="204"/>
        <scheme val="minor"/>
      </rPr>
      <t>ҳисобот йилида содир этилган жами</t>
    </r>
    <r>
      <rPr>
        <b/>
        <sz val="14"/>
        <rFont val="Calibri"/>
        <family val="2"/>
        <charset val="204"/>
        <scheme val="minor"/>
      </rPr>
      <t xml:space="preserve"> жиноятлар тўғрисида</t>
    </r>
  </si>
  <si>
    <t xml:space="preserve">М А Ъ Л У М О Т </t>
  </si>
  <si>
    <t>1-жадвал</t>
  </si>
  <si>
    <t>№</t>
  </si>
  <si>
    <t xml:space="preserve">Ҳудуд </t>
  </si>
  <si>
    <t>Жами аҳоли сони</t>
  </si>
  <si>
    <t>Ҳисобот йилида содир этилган жиноятлар</t>
  </si>
  <si>
    <t xml:space="preserve">Олдини олиш мумкин бўлган жиноятлар </t>
  </si>
  <si>
    <t xml:space="preserve">Аниқланадиган жиноятлар </t>
  </si>
  <si>
    <t>Ахборот технологияларидан (АТ) фойдаланиб содир этилган жиноятлар</t>
  </si>
  <si>
    <t>ЖАМИ</t>
  </si>
  <si>
    <t>100 минг аҳолига</t>
  </si>
  <si>
    <t>Унча оғир бўлмаган</t>
  </si>
  <si>
    <t>Оғир</t>
  </si>
  <si>
    <t>Ўта оғир</t>
  </si>
  <si>
    <t>жами</t>
  </si>
  <si>
    <t>Салмоғи**</t>
  </si>
  <si>
    <t xml:space="preserve">Салмоғи </t>
  </si>
  <si>
    <t>Салмоғи</t>
  </si>
  <si>
    <t>Тошкент ш.</t>
  </si>
  <si>
    <t>Тошкент в.</t>
  </si>
  <si>
    <t>Самарқанд</t>
  </si>
  <si>
    <t>Сирдарё</t>
  </si>
  <si>
    <t>Жиззах</t>
  </si>
  <si>
    <t>Бухоро</t>
  </si>
  <si>
    <t>Навоий</t>
  </si>
  <si>
    <t>Фарғона</t>
  </si>
  <si>
    <t xml:space="preserve">Андижон </t>
  </si>
  <si>
    <t>Наманган</t>
  </si>
  <si>
    <t>Сурхондарё</t>
  </si>
  <si>
    <t>Қашқадарё</t>
  </si>
  <si>
    <t xml:space="preserve">Хоразм </t>
  </si>
  <si>
    <t>ҚҚР</t>
  </si>
  <si>
    <t>Транспорт</t>
  </si>
  <si>
    <t/>
  </si>
  <si>
    <t>Республикада</t>
  </si>
  <si>
    <r>
      <t xml:space="preserve">2026  йил 6 ойида  </t>
    </r>
    <r>
      <rPr>
        <b/>
        <sz val="14"/>
        <color rgb="FF0000FF"/>
        <rFont val="Calibri"/>
        <family val="2"/>
        <charset val="204"/>
        <scheme val="minor"/>
      </rPr>
      <t>ҳисобот йилида содир этилган олдини олиш мумкин бўлган</t>
    </r>
    <r>
      <rPr>
        <b/>
        <sz val="14"/>
        <rFont val="Calibri"/>
        <family val="2"/>
        <charset val="204"/>
        <scheme val="minor"/>
      </rPr>
      <t xml:space="preserve"> жиноятлар тўғрисида</t>
    </r>
  </si>
  <si>
    <t xml:space="preserve"> М А Ъ Л У М О Т </t>
  </si>
  <si>
    <t>2-жадвал</t>
  </si>
  <si>
    <t xml:space="preserve">Қасддан одам ўлдириш </t>
  </si>
  <si>
    <t>Қасддан баданга оғир шикаст етказиш</t>
  </si>
  <si>
    <t>Қасддан баданга ўртача оғир шикаст етказиш</t>
  </si>
  <si>
    <t>Қасддан баданга енгил шикаст етказиш</t>
  </si>
  <si>
    <t xml:space="preserve">Номусга тегиш </t>
  </si>
  <si>
    <t>Босқинчилик</t>
  </si>
  <si>
    <t>оилавий зщравонлик</t>
  </si>
  <si>
    <t>Талончилик</t>
  </si>
  <si>
    <t>Фирибгарлик</t>
  </si>
  <si>
    <t>Ўғрилик</t>
  </si>
  <si>
    <t>Транспорт воситасини олиб қочиш</t>
  </si>
  <si>
    <t>Безорилик</t>
  </si>
  <si>
    <t>Жами</t>
  </si>
  <si>
    <r>
      <t xml:space="preserve">2026  йил 6 ойида  </t>
    </r>
    <r>
      <rPr>
        <b/>
        <sz val="14"/>
        <color rgb="FF0000FF"/>
        <rFont val="Calibri"/>
        <family val="2"/>
        <charset val="204"/>
        <scheme val="minor"/>
      </rPr>
      <t>ҳисобот йилида содир этилган Аниқланадагина</t>
    </r>
    <r>
      <rPr>
        <b/>
        <sz val="14"/>
        <rFont val="Calibri"/>
        <family val="2"/>
        <charset val="204"/>
        <scheme val="minor"/>
      </rPr>
      <t xml:space="preserve"> жиноятлар тўғрисида</t>
    </r>
  </si>
  <si>
    <t>5-жадвал</t>
  </si>
  <si>
    <t xml:space="preserve">Жами рўйхатга олинган аниқлана-диган жиноятлар </t>
  </si>
  <si>
    <t>Жами жиноятга нисбатан салмоғи</t>
  </si>
  <si>
    <t>Экстримизм билан боғлиқ жиноятлар</t>
  </si>
  <si>
    <t>Гиёҳвандлик (психотроп) воситалари ноқонуний муомаласи *</t>
  </si>
  <si>
    <t>Қўшмачилик қилиш ёки фоҳишахона сақлаш</t>
  </si>
  <si>
    <t>Одам савдоси</t>
  </si>
  <si>
    <t>Ўқотар қуролнинг, ўқ -дориларнинг, ўқотар қўрол асосий қисимларинг, портловчи моддаларнинг ёки портлатиш қурилмаларининг ноқонунга хилоф муомаласи</t>
  </si>
  <si>
    <t>Маъмурий назорат қоидасини бўзиш</t>
  </si>
  <si>
    <t>Қалбаки пул, акциз маркаси ёки қимматли қоғозлар ясаш, уларни ўтказиш</t>
  </si>
  <si>
    <t>Валюта қимматликларини қонунга хилоф равишда олиш ёки ўтказиш</t>
  </si>
  <si>
    <t>Ўзлаштириш ёки растрата йўли билан талон-торож қилиш</t>
  </si>
  <si>
    <t xml:space="preserve">Порахўрлик </t>
  </si>
  <si>
    <t>салмоғи**</t>
  </si>
  <si>
    <t>салмоғи</t>
  </si>
  <si>
    <t>Изоҳ:</t>
  </si>
  <si>
    <t xml:space="preserve"> * – ЖКнинг 251м., 2511м.,  270-276-моддалар ва 246-модданинг гиёҳвандлик билан боғлиқ бўлганлари киритилади;</t>
  </si>
  <si>
    <t>** - аниқланадиган- ҳисобот даври жиноятларга нисбатан салмоғи</t>
  </si>
  <si>
    <t>***  -Экстремизм билан боғлиқ жиноятлар</t>
  </si>
  <si>
    <t>(145, 154,155, 155-1, 155-2, 155-3, 156,158, 159, 161, 216, 216-1, 216-2, 217, 229-2, 244-1, 244-2, 244-3)</t>
  </si>
  <si>
    <r>
      <t xml:space="preserve">2026  йил 6 ойида  </t>
    </r>
    <r>
      <rPr>
        <b/>
        <sz val="14"/>
        <color rgb="FF0000FF"/>
        <rFont val="Calibri"/>
        <family val="2"/>
        <charset val="204"/>
        <scheme val="minor"/>
      </rPr>
      <t>ҳисобот йилида алоҳида тоифадаги шахслар томонидан содир этилган олдини олиш мумкин бўлган</t>
    </r>
    <r>
      <rPr>
        <b/>
        <sz val="14"/>
        <rFont val="Calibri"/>
        <family val="2"/>
        <charset val="204"/>
        <scheme val="minor"/>
      </rPr>
      <t xml:space="preserve">  жиноятлар тўғрисидаги</t>
    </r>
  </si>
  <si>
    <t>12-жадвал</t>
  </si>
  <si>
    <t>Жами ҳисобга олинган жиноятлар</t>
  </si>
  <si>
    <t>Вояга етмаганлар томонидан содир этилган жиноятлар</t>
  </si>
  <si>
    <t xml:space="preserve">Аёллар томонидан содир этилган жиноятлар </t>
  </si>
  <si>
    <t>Ёшлар томонидан содир этилган жиноятлар</t>
  </si>
  <si>
    <t>Гуруҳлар томонидан содир этилган жиноятлар</t>
  </si>
  <si>
    <t>Маст ҳолатда содир этилган жиноятлар</t>
  </si>
  <si>
    <t>Муқаддам судланганлар томонидан содир этилган жиноятлар</t>
  </si>
  <si>
    <t>Ишламайдиган, ўқимайдиганлар томонидан содир этилган жиноятлар</t>
  </si>
  <si>
    <t>салмоғи*</t>
  </si>
  <si>
    <t>Изох:</t>
  </si>
  <si>
    <t>* - Жами ҳисобга олинган жиноятларга нисбатан салмоғи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</si>
</sst>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rgb="FF0000FF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color indexed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indexed="8"/>
      <name val="Calibri"/>
      <family val="2"/>
      <charset val="204"/>
      <scheme val="minor"/>
    </font>
    <font>
      <sz val="9"/>
      <color indexed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Calibri"/>
      <family val="2"/>
      <charset val="204"/>
      <scheme val="minor"/>
    </font>
    <font>
      <sz val="6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7.5"/>
      <color indexed="8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19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textRotation="90" wrapText="1"/>
    </xf>
    <xf numFmtId="0" fontId="10" fillId="3" borderId="1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textRotation="90" wrapText="1"/>
    </xf>
    <xf numFmtId="0" fontId="9" fillId="4" borderId="1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textRotation="90" wrapText="1"/>
    </xf>
    <xf numFmtId="0" fontId="12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textRotation="90" wrapText="1"/>
    </xf>
    <xf numFmtId="1" fontId="6" fillId="6" borderId="10" xfId="0" applyNumberFormat="1" applyFont="1" applyFill="1" applyBorder="1" applyAlignment="1">
      <alignment horizontal="left" vertical="center" wrapText="1"/>
    </xf>
    <xf numFmtId="1" fontId="6" fillId="6" borderId="21" xfId="0" applyNumberFormat="1" applyFont="1" applyFill="1" applyBorder="1" applyAlignment="1">
      <alignment horizontal="left" vertical="center" wrapText="1"/>
    </xf>
    <xf numFmtId="1" fontId="6" fillId="7" borderId="21" xfId="0" applyNumberFormat="1" applyFont="1" applyFill="1" applyBorder="1" applyAlignment="1">
      <alignment horizontal="center" vertical="center" wrapText="1"/>
    </xf>
    <xf numFmtId="1" fontId="13" fillId="7" borderId="10" xfId="0" applyNumberFormat="1" applyFont="1" applyFill="1" applyBorder="1" applyAlignment="1">
      <alignment horizontal="center" vertical="center" wrapText="1"/>
    </xf>
    <xf numFmtId="164" fontId="13" fillId="7" borderId="11" xfId="0" applyNumberFormat="1" applyFont="1" applyFill="1" applyBorder="1" applyAlignment="1">
      <alignment horizontal="center" vertical="center" wrapText="1"/>
    </xf>
    <xf numFmtId="1" fontId="6" fillId="7" borderId="11" xfId="0" applyNumberFormat="1" applyFont="1" applyFill="1" applyBorder="1" applyAlignment="1">
      <alignment horizontal="center" vertical="center" wrapText="1"/>
    </xf>
    <xf numFmtId="164" fontId="6" fillId="6" borderId="11" xfId="0" applyNumberFormat="1" applyFont="1" applyFill="1" applyBorder="1" applyAlignment="1">
      <alignment horizontal="center" vertical="center" wrapText="1"/>
    </xf>
    <xf numFmtId="164" fontId="6" fillId="6" borderId="12" xfId="0" applyNumberFormat="1" applyFont="1" applyFill="1" applyBorder="1" applyAlignment="1">
      <alignment horizontal="center" vertical="center" wrapText="1"/>
    </xf>
    <xf numFmtId="1" fontId="13" fillId="7" borderId="2" xfId="0" applyNumberFormat="1" applyFont="1" applyFill="1" applyBorder="1" applyAlignment="1">
      <alignment horizontal="center" vertical="center" wrapText="1"/>
    </xf>
    <xf numFmtId="164" fontId="13" fillId="7" borderId="3" xfId="0" applyNumberFormat="1" applyFont="1" applyFill="1" applyBorder="1" applyAlignment="1">
      <alignment horizontal="center" vertical="center" wrapText="1"/>
    </xf>
    <xf numFmtId="1" fontId="6" fillId="7" borderId="3" xfId="0" applyNumberFormat="1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center" vertical="center" wrapText="1"/>
    </xf>
    <xf numFmtId="164" fontId="6" fillId="6" borderId="8" xfId="0" applyNumberFormat="1" applyFont="1" applyFill="1" applyBorder="1" applyAlignment="1">
      <alignment horizontal="center" vertical="center" wrapText="1"/>
    </xf>
    <xf numFmtId="1" fontId="6" fillId="6" borderId="22" xfId="0" applyNumberFormat="1" applyFont="1" applyFill="1" applyBorder="1" applyAlignment="1">
      <alignment horizontal="center" vertical="center" wrapText="1"/>
    </xf>
    <xf numFmtId="1" fontId="4" fillId="0" borderId="0" xfId="0" applyNumberFormat="1" applyFont="1"/>
    <xf numFmtId="0" fontId="6" fillId="0" borderId="10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shrinkToFit="1"/>
    </xf>
    <xf numFmtId="3" fontId="16" fillId="0" borderId="23" xfId="1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 wrapText="1"/>
    </xf>
    <xf numFmtId="164" fontId="13" fillId="0" borderId="11" xfId="0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164" fontId="6" fillId="6" borderId="13" xfId="0" applyNumberFormat="1" applyFont="1" applyFill="1" applyBorder="1" applyAlignment="1">
      <alignment horizontal="center" vertical="center" wrapText="1"/>
    </xf>
    <xf numFmtId="1" fontId="6" fillId="6" borderId="24" xfId="0" applyNumberFormat="1" applyFont="1" applyFill="1" applyBorder="1" applyAlignment="1">
      <alignment horizontal="center" vertical="center" wrapText="1"/>
    </xf>
    <xf numFmtId="1" fontId="6" fillId="7" borderId="10" xfId="0" applyNumberFormat="1" applyFont="1" applyFill="1" applyBorder="1" applyAlignment="1">
      <alignment horizontal="left" vertical="center" wrapText="1"/>
    </xf>
    <xf numFmtId="1" fontId="6" fillId="7" borderId="21" xfId="0" applyNumberFormat="1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left" vertical="center" wrapText="1"/>
    </xf>
    <xf numFmtId="0" fontId="14" fillId="7" borderId="21" xfId="0" applyFont="1" applyFill="1" applyBorder="1" applyAlignment="1">
      <alignment horizontal="left" vertical="center" shrinkToFit="1"/>
    </xf>
    <xf numFmtId="3" fontId="16" fillId="7" borderId="23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shrinkToFit="1"/>
    </xf>
    <xf numFmtId="1" fontId="6" fillId="0" borderId="26" xfId="0" applyNumberFormat="1" applyFont="1" applyBorder="1" applyAlignment="1">
      <alignment horizontal="center" vertical="center" wrapText="1"/>
    </xf>
    <xf numFmtId="1" fontId="13" fillId="7" borderId="15" xfId="0" applyNumberFormat="1" applyFont="1" applyFill="1" applyBorder="1" applyAlignment="1">
      <alignment horizontal="center" vertical="center" wrapText="1"/>
    </xf>
    <xf numFmtId="164" fontId="13" fillId="7" borderId="16" xfId="0" applyNumberFormat="1" applyFont="1" applyFill="1" applyBorder="1" applyAlignment="1">
      <alignment horizontal="center" vertical="center" wrapText="1"/>
    </xf>
    <xf numFmtId="1" fontId="6" fillId="7" borderId="16" xfId="0" applyNumberFormat="1" applyFont="1" applyFill="1" applyBorder="1" applyAlignment="1">
      <alignment horizontal="center" vertical="center" wrapText="1"/>
    </xf>
    <xf numFmtId="164" fontId="6" fillId="6" borderId="16" xfId="0" applyNumberFormat="1" applyFont="1" applyFill="1" applyBorder="1" applyAlignment="1">
      <alignment horizontal="center" vertical="center" wrapText="1"/>
    </xf>
    <xf numFmtId="164" fontId="6" fillId="6" borderId="27" xfId="0" applyNumberFormat="1" applyFont="1" applyFill="1" applyBorder="1" applyAlignment="1">
      <alignment horizontal="center" vertical="center" wrapText="1"/>
    </xf>
    <xf numFmtId="1" fontId="6" fillId="6" borderId="28" xfId="0" applyNumberFormat="1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3" fontId="7" fillId="0" borderId="31" xfId="0" applyNumberFormat="1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164" fontId="13" fillId="0" borderId="30" xfId="0" applyNumberFormat="1" applyFont="1" applyBorder="1" applyAlignment="1">
      <alignment horizontal="center" vertical="center" wrapText="1"/>
    </xf>
    <xf numFmtId="3" fontId="7" fillId="0" borderId="33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3" fontId="7" fillId="0" borderId="34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 wrapText="1"/>
    </xf>
    <xf numFmtId="3" fontId="7" fillId="0" borderId="35" xfId="0" applyNumberFormat="1" applyFont="1" applyBorder="1" applyAlignment="1">
      <alignment horizontal="center" vertical="center"/>
    </xf>
    <xf numFmtId="164" fontId="13" fillId="0" borderId="36" xfId="0" applyNumberFormat="1" applyFont="1" applyBorder="1" applyAlignment="1">
      <alignment horizontal="center" vertical="center" wrapText="1"/>
    </xf>
    <xf numFmtId="3" fontId="7" fillId="0" borderId="36" xfId="0" applyNumberFormat="1" applyFont="1" applyBorder="1" applyAlignment="1">
      <alignment horizontal="center" vertical="center"/>
    </xf>
    <xf numFmtId="164" fontId="16" fillId="0" borderId="36" xfId="0" applyNumberFormat="1" applyFont="1" applyBorder="1" applyAlignment="1">
      <alignment horizontal="center" vertical="center" wrapText="1"/>
    </xf>
    <xf numFmtId="164" fontId="6" fillId="0" borderId="36" xfId="0" applyNumberFormat="1" applyFont="1" applyBorder="1" applyAlignment="1">
      <alignment horizontal="center" vertical="center" wrapText="1"/>
    </xf>
    <xf numFmtId="164" fontId="6" fillId="0" borderId="37" xfId="0" applyNumberFormat="1" applyFont="1" applyBorder="1" applyAlignment="1">
      <alignment horizontal="center" vertical="center" wrapText="1"/>
    </xf>
    <xf numFmtId="3" fontId="7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3" fillId="0" borderId="0" xfId="0" applyFont="1"/>
    <xf numFmtId="0" fontId="18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1" fontId="6" fillId="7" borderId="39" xfId="0" applyNumberFormat="1" applyFont="1" applyFill="1" applyBorder="1" applyAlignment="1">
      <alignment horizontal="center" vertical="center" wrapText="1"/>
    </xf>
    <xf numFmtId="164" fontId="6" fillId="7" borderId="40" xfId="0" applyNumberFormat="1" applyFont="1" applyFill="1" applyBorder="1" applyAlignment="1">
      <alignment horizontal="center" vertical="center" wrapText="1"/>
    </xf>
    <xf numFmtId="1" fontId="6" fillId="7" borderId="40" xfId="0" applyNumberFormat="1" applyFont="1" applyFill="1" applyBorder="1" applyAlignment="1">
      <alignment horizontal="center" vertical="center" wrapText="1"/>
    </xf>
    <xf numFmtId="164" fontId="6" fillId="7" borderId="41" xfId="0" applyNumberFormat="1" applyFont="1" applyFill="1" applyBorder="1" applyAlignment="1">
      <alignment horizontal="center" vertical="center" wrapText="1"/>
    </xf>
    <xf numFmtId="1" fontId="6" fillId="0" borderId="21" xfId="0" applyNumberFormat="1" applyFont="1" applyBorder="1" applyAlignment="1">
      <alignment horizontal="center" vertical="center" wrapText="1"/>
    </xf>
    <xf numFmtId="164" fontId="6" fillId="7" borderId="11" xfId="0" applyNumberFormat="1" applyFont="1" applyFill="1" applyBorder="1" applyAlignment="1">
      <alignment horizontal="center" vertical="center" wrapText="1"/>
    </xf>
    <xf numFmtId="164" fontId="6" fillId="7" borderId="13" xfId="0" applyNumberFormat="1" applyFont="1" applyFill="1" applyBorder="1" applyAlignment="1">
      <alignment horizontal="center" vertical="center" wrapText="1"/>
    </xf>
    <xf numFmtId="1" fontId="7" fillId="0" borderId="42" xfId="0" applyNumberFormat="1" applyFont="1" applyBorder="1" applyAlignment="1">
      <alignment horizontal="center" vertical="center" wrapText="1"/>
    </xf>
    <xf numFmtId="1" fontId="7" fillId="0" borderId="30" xfId="0" applyNumberFormat="1" applyFont="1" applyBorder="1" applyAlignment="1">
      <alignment horizontal="center" vertical="center" wrapText="1"/>
    </xf>
    <xf numFmtId="164" fontId="6" fillId="0" borderId="3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textRotation="90" wrapText="1"/>
    </xf>
    <xf numFmtId="0" fontId="13" fillId="4" borderId="20" xfId="0" applyFont="1" applyFill="1" applyBorder="1" applyAlignment="1">
      <alignment horizontal="center" vertical="center" textRotation="90" wrapText="1"/>
    </xf>
    <xf numFmtId="1" fontId="6" fillId="6" borderId="44" xfId="0" applyNumberFormat="1" applyFont="1" applyFill="1" applyBorder="1" applyAlignment="1">
      <alignment horizontal="left" vertical="center" wrapText="1"/>
    </xf>
    <xf numFmtId="1" fontId="6" fillId="7" borderId="2" xfId="0" applyNumberFormat="1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horizontal="center" vertical="center" wrapText="1"/>
    </xf>
    <xf numFmtId="164" fontId="6" fillId="7" borderId="8" xfId="0" applyNumberFormat="1" applyFont="1" applyFill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6" fillId="7" borderId="10" xfId="0" applyNumberFormat="1" applyFont="1" applyFill="1" applyBorder="1" applyAlignment="1">
      <alignment horizontal="center" vertical="center" wrapText="1"/>
    </xf>
    <xf numFmtId="1" fontId="6" fillId="7" borderId="18" xfId="0" applyNumberFormat="1" applyFont="1" applyFill="1" applyBorder="1" applyAlignment="1">
      <alignment horizontal="left" vertical="center" wrapText="1"/>
    </xf>
    <xf numFmtId="1" fontId="6" fillId="7" borderId="25" xfId="0" applyNumberFormat="1" applyFont="1" applyFill="1" applyBorder="1" applyAlignment="1">
      <alignment horizontal="left" vertical="center" wrapText="1"/>
    </xf>
    <xf numFmtId="1" fontId="6" fillId="7" borderId="18" xfId="0" applyNumberFormat="1" applyFont="1" applyFill="1" applyBorder="1" applyAlignment="1">
      <alignment horizontal="center" vertical="center" wrapText="1"/>
    </xf>
    <xf numFmtId="164" fontId="6" fillId="7" borderId="19" xfId="0" applyNumberFormat="1" applyFont="1" applyFill="1" applyBorder="1" applyAlignment="1">
      <alignment horizontal="center" vertical="center" wrapText="1"/>
    </xf>
    <xf numFmtId="1" fontId="6" fillId="7" borderId="19" xfId="0" applyNumberFormat="1" applyFont="1" applyFill="1" applyBorder="1" applyAlignment="1">
      <alignment horizontal="center" vertical="center" wrapText="1"/>
    </xf>
    <xf numFmtId="164" fontId="6" fillId="7" borderId="20" xfId="0" applyNumberFormat="1" applyFont="1" applyFill="1" applyBorder="1" applyAlignment="1">
      <alignment horizontal="center" vertical="center" wrapText="1"/>
    </xf>
    <xf numFmtId="1" fontId="7" fillId="0" borderId="29" xfId="0" applyNumberFormat="1" applyFont="1" applyBorder="1" applyAlignment="1">
      <alignment horizontal="center" vertical="center" wrapText="1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/>
    <xf numFmtId="1" fontId="12" fillId="0" borderId="0" xfId="0" applyNumberFormat="1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textRotation="90" wrapText="1"/>
    </xf>
    <xf numFmtId="0" fontId="13" fillId="4" borderId="27" xfId="0" applyFont="1" applyFill="1" applyBorder="1" applyAlignment="1">
      <alignment horizontal="center" vertical="center" textRotation="90" wrapText="1"/>
    </xf>
    <xf numFmtId="1" fontId="6" fillId="6" borderId="23" xfId="0" applyNumberFormat="1" applyFont="1" applyFill="1" applyBorder="1" applyAlignment="1">
      <alignment horizontal="left" vertical="center" wrapText="1"/>
    </xf>
    <xf numFmtId="1" fontId="6" fillId="6" borderId="39" xfId="0" applyNumberFormat="1" applyFont="1" applyFill="1" applyBorder="1" applyAlignment="1">
      <alignment horizontal="center" vertical="center" wrapText="1"/>
    </xf>
    <xf numFmtId="1" fontId="6" fillId="6" borderId="40" xfId="0" applyNumberFormat="1" applyFont="1" applyFill="1" applyBorder="1" applyAlignment="1">
      <alignment horizontal="center" vertical="center" wrapText="1"/>
    </xf>
    <xf numFmtId="164" fontId="6" fillId="6" borderId="40" xfId="0" applyNumberFormat="1" applyFont="1" applyFill="1" applyBorder="1" applyAlignment="1">
      <alignment horizontal="center" vertical="center" wrapText="1"/>
    </xf>
    <xf numFmtId="164" fontId="6" fillId="6" borderId="41" xfId="0" applyNumberFormat="1" applyFont="1" applyFill="1" applyBorder="1" applyAlignment="1">
      <alignment horizontal="center" vertical="center" wrapText="1"/>
    </xf>
    <xf numFmtId="0" fontId="14" fillId="0" borderId="23" xfId="0" applyFont="1" applyBorder="1" applyAlignment="1">
      <alignment horizontal="left" vertical="center" shrinkToFit="1"/>
    </xf>
    <xf numFmtId="164" fontId="6" fillId="0" borderId="40" xfId="0" applyNumberFormat="1" applyFont="1" applyBorder="1" applyAlignment="1">
      <alignment horizontal="center" vertical="center" wrapText="1"/>
    </xf>
    <xf numFmtId="164" fontId="6" fillId="0" borderId="41" xfId="0" applyNumberFormat="1" applyFont="1" applyBorder="1" applyAlignment="1">
      <alignment horizontal="center" vertical="center" wrapText="1"/>
    </xf>
    <xf numFmtId="1" fontId="6" fillId="6" borderId="21" xfId="0" applyNumberFormat="1" applyFont="1" applyFill="1" applyBorder="1" applyAlignment="1">
      <alignment horizontal="center" vertical="center" wrapText="1"/>
    </xf>
    <xf numFmtId="1" fontId="6" fillId="6" borderId="11" xfId="0" applyNumberFormat="1" applyFont="1" applyFill="1" applyBorder="1" applyAlignment="1">
      <alignment horizontal="center" vertical="center" wrapText="1"/>
    </xf>
    <xf numFmtId="1" fontId="6" fillId="7" borderId="23" xfId="0" applyNumberFormat="1" applyFont="1" applyFill="1" applyBorder="1" applyAlignment="1">
      <alignment horizontal="left" vertical="center" wrapText="1"/>
    </xf>
    <xf numFmtId="0" fontId="14" fillId="7" borderId="23" xfId="0" applyFont="1" applyFill="1" applyBorder="1" applyAlignment="1">
      <alignment horizontal="left" vertical="center" shrinkToFit="1"/>
    </xf>
    <xf numFmtId="0" fontId="14" fillId="0" borderId="46" xfId="0" applyFont="1" applyBorder="1" applyAlignment="1">
      <alignment horizontal="left" vertical="center" shrinkToFit="1"/>
    </xf>
    <xf numFmtId="0" fontId="7" fillId="0" borderId="31" xfId="0" applyFont="1" applyBorder="1" applyAlignment="1">
      <alignment horizontal="center" vertical="center" wrapText="1"/>
    </xf>
    <xf numFmtId="1" fontId="6" fillId="0" borderId="4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_ожидаем" xfId="1" xr:uid="{15C4AFF6-7918-4F0E-9C74-2923662A9F30}"/>
  </cellStyles>
  <dxfs count="60">
    <dxf>
      <font>
        <b/>
        <i val="0"/>
        <color indexed="60"/>
      </font>
    </dxf>
    <dxf>
      <font>
        <b/>
        <i val="0"/>
        <color indexed="60"/>
      </font>
    </dxf>
    <dxf>
      <font>
        <b/>
        <i val="0"/>
        <color indexed="60"/>
      </font>
    </dxf>
    <dxf>
      <font>
        <b/>
        <i val="0"/>
        <color indexed="60"/>
      </font>
    </dxf>
    <dxf>
      <font>
        <b/>
        <i val="0"/>
        <color indexed="60"/>
      </font>
    </dxf>
    <dxf>
      <font>
        <b/>
        <i val="0"/>
        <color indexed="60"/>
      </font>
    </dxf>
    <dxf>
      <font>
        <b/>
        <i val="0"/>
        <color indexed="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indexed="60"/>
      </font>
    </dxf>
    <dxf>
      <font>
        <b/>
        <i val="0"/>
        <color rgb="FFC0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ont>
        <b/>
        <i val="0"/>
        <color indexed="60"/>
      </font>
    </dxf>
    <dxf>
      <font>
        <b/>
        <i val="0"/>
        <color rgb="FFC0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rgb="FFC0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indexed="6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7792.28083.rartemp/&#1041;&#1072;&#1093;&#1086;&#1083;&#1072;&#1096;-&#1078;&#1086;&#1088;&#1080;&#1081;.xlsx" TargetMode="External"/><Relationship Id="rId2" Type="http://schemas.openxmlformats.org/officeDocument/2006/relationships/externalLinkPath" Target="file:///C:\Users\user\AppData\Local\Temp\Rar$DIa7792.28083.rartemp\&#1041;&#1072;&#1093;&#1086;&#1083;&#1072;&#1096;-&#1078;&#1086;&#1088;&#1080;&#1081;.xlsx" TargetMode="External"/><Relationship Id="rId1" Type="http://schemas.openxmlformats.org/officeDocument/2006/relationships/externalLinkPath" Target="/Users/user/AppData/Local/Temp/Rar$DIa7792.28083.rartemp/&#1041;&#1072;&#1093;&#1086;&#1083;&#1072;&#1096;-&#1078;&#1086;&#1088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2026"/>
      <sheetName val="Олдини олиш-2026"/>
      <sheetName val="Ўғрилик 2026"/>
      <sheetName val="фирибгарлик 2026"/>
      <sheetName val="аниқланадиган 2026"/>
      <sheetName val="гиёхвандлик-2026"/>
      <sheetName val="экстемизим-2026"/>
      <sheetName val="КИБЕР 2026"/>
      <sheetName val="ЭХТИЁТСИЗЛИК-2026"/>
      <sheetName val="Махалла"/>
      <sheetName val="МГ-2026"/>
      <sheetName val="Шахс-жинояти-2026"/>
      <sheetName val="Вояга етмаган-2026"/>
      <sheetName val="Вояга етмаган-Т-2026"/>
      <sheetName val="Ёшлар-2026"/>
      <sheetName val="Ёшлар-Т-2026"/>
      <sheetName val="Аёллар-2026"/>
      <sheetName val="Илгари судланган-2026"/>
      <sheetName val="Ишламайдиган-2026"/>
      <sheetName val="Маст ҳолатда-2026"/>
      <sheetName val="Гурух-2026"/>
      <sheetName val="АНИҚЛАНГАН ШАХСЛАР-2026"/>
      <sheetName val="364-2026"/>
      <sheetName val="364-1-2026"/>
      <sheetName val="364-2-2026"/>
      <sheetName val="364-3-2026"/>
      <sheetName val="фош этиш 2026"/>
      <sheetName val="рад эт-2026"/>
      <sheetName val="укрития-2026"/>
      <sheetName val="кушимча 2026"/>
      <sheetName val="Олди-олинган-2026"/>
      <sheetName val="Бошқа вилоят 2026"/>
      <sheetName val="кидирув"/>
      <sheetName val="бедарак"/>
      <sheetName val="хизматлар"/>
      <sheetName val="Ҳисобдан чикарилган"/>
    </sheetNames>
    <sheetDataSet>
      <sheetData sheetId="0">
        <row r="7">
          <cell r="C7">
            <v>3327964</v>
          </cell>
          <cell r="D7">
            <v>13359</v>
          </cell>
        </row>
        <row r="8">
          <cell r="C8">
            <v>3166428</v>
          </cell>
          <cell r="D8">
            <v>7339</v>
          </cell>
        </row>
        <row r="9">
          <cell r="C9">
            <v>4363787</v>
          </cell>
          <cell r="D9">
            <v>6987</v>
          </cell>
        </row>
        <row r="10">
          <cell r="C10">
            <v>939200</v>
          </cell>
          <cell r="D10">
            <v>2076</v>
          </cell>
        </row>
        <row r="11">
          <cell r="C11">
            <v>1554972</v>
          </cell>
          <cell r="D11">
            <v>2443</v>
          </cell>
        </row>
        <row r="12">
          <cell r="C12">
            <v>2097496</v>
          </cell>
          <cell r="D12">
            <v>4223</v>
          </cell>
        </row>
        <row r="13">
          <cell r="C13">
            <v>1103395</v>
          </cell>
          <cell r="D13">
            <v>2705</v>
          </cell>
        </row>
        <row r="14">
          <cell r="C14">
            <v>4208781</v>
          </cell>
          <cell r="D14">
            <v>7352</v>
          </cell>
        </row>
        <row r="15">
          <cell r="C15">
            <v>3512037</v>
          </cell>
          <cell r="D15">
            <v>5546</v>
          </cell>
        </row>
        <row r="16">
          <cell r="C16">
            <v>3178985</v>
          </cell>
          <cell r="D16">
            <v>6376</v>
          </cell>
        </row>
        <row r="17">
          <cell r="C17">
            <v>2992344</v>
          </cell>
          <cell r="D17">
            <v>5234</v>
          </cell>
        </row>
        <row r="18">
          <cell r="C18">
            <v>3688270</v>
          </cell>
          <cell r="D18">
            <v>6350</v>
          </cell>
        </row>
        <row r="19">
          <cell r="C19">
            <v>2060791</v>
          </cell>
          <cell r="D19">
            <v>2723</v>
          </cell>
        </row>
        <row r="20">
          <cell r="C20">
            <v>2042254</v>
          </cell>
          <cell r="D20">
            <v>2547</v>
          </cell>
        </row>
        <row r="21">
          <cell r="D21">
            <v>303</v>
          </cell>
        </row>
        <row r="22">
          <cell r="C22">
            <v>38236704</v>
          </cell>
          <cell r="D22">
            <v>75563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B3E8-3E47-4C7B-9DE1-6EDD8B4040A5}">
  <dimension ref="A1:Q24"/>
  <sheetViews>
    <sheetView showZeros="0" tabSelected="1" zoomScaleNormal="100" zoomScaleSheetLayoutView="70" workbookViewId="0">
      <selection activeCell="L20" sqref="L20"/>
    </sheetView>
  </sheetViews>
  <sheetFormatPr defaultColWidth="9.140625" defaultRowHeight="15" x14ac:dyDescent="0.25"/>
  <cols>
    <col min="1" max="1" width="3.140625" style="3" customWidth="1"/>
    <col min="2" max="2" width="13.28515625" style="3" bestFit="1" customWidth="1"/>
    <col min="3" max="3" width="10.28515625" style="3" bestFit="1" customWidth="1"/>
    <col min="4" max="17" width="7.42578125" style="3" customWidth="1"/>
    <col min="18" max="16384" width="9.140625" style="3"/>
  </cols>
  <sheetData>
    <row r="1" spans="1:17" s="168" customFormat="1" ht="35.25" customHeight="1" x14ac:dyDescent="0.3">
      <c r="A1" s="166" t="s">
        <v>73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</row>
    <row r="2" spans="1:17" s="106" customFormat="1" ht="18.75" x14ac:dyDescent="0.3">
      <c r="A2" s="2" t="s">
        <v>1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7" s="106" customFormat="1" ht="16.5" customHeight="1" thickBot="1" x14ac:dyDescent="0.35">
      <c r="A3" s="4"/>
      <c r="B3" s="4"/>
      <c r="C3" s="4"/>
      <c r="D3" s="4"/>
      <c r="E3" s="4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74</v>
      </c>
      <c r="P3" s="171"/>
      <c r="Q3" s="171"/>
    </row>
    <row r="4" spans="1:17" ht="68.25" customHeight="1" x14ac:dyDescent="0.25">
      <c r="A4" s="172" t="s">
        <v>3</v>
      </c>
      <c r="B4" s="135" t="s">
        <v>4</v>
      </c>
      <c r="C4" s="136" t="s">
        <v>75</v>
      </c>
      <c r="D4" s="8" t="s">
        <v>76</v>
      </c>
      <c r="E4" s="8"/>
      <c r="F4" s="8" t="s">
        <v>77</v>
      </c>
      <c r="G4" s="8"/>
      <c r="H4" s="8" t="s">
        <v>78</v>
      </c>
      <c r="I4" s="8"/>
      <c r="J4" s="8" t="s">
        <v>79</v>
      </c>
      <c r="K4" s="8"/>
      <c r="L4" s="8" t="s">
        <v>80</v>
      </c>
      <c r="M4" s="8"/>
      <c r="N4" s="8" t="s">
        <v>81</v>
      </c>
      <c r="O4" s="8"/>
      <c r="P4" s="8" t="s">
        <v>82</v>
      </c>
      <c r="Q4" s="135"/>
    </row>
    <row r="5" spans="1:17" ht="42.75" customHeight="1" thickBot="1" x14ac:dyDescent="0.3">
      <c r="A5" s="173"/>
      <c r="B5" s="141"/>
      <c r="C5" s="174"/>
      <c r="D5" s="175" t="s">
        <v>51</v>
      </c>
      <c r="E5" s="176" t="s">
        <v>83</v>
      </c>
      <c r="F5" s="175" t="s">
        <v>51</v>
      </c>
      <c r="G5" s="176" t="s">
        <v>83</v>
      </c>
      <c r="H5" s="175" t="s">
        <v>51</v>
      </c>
      <c r="I5" s="176" t="s">
        <v>83</v>
      </c>
      <c r="J5" s="175" t="s">
        <v>51</v>
      </c>
      <c r="K5" s="176" t="s">
        <v>83</v>
      </c>
      <c r="L5" s="175" t="s">
        <v>51</v>
      </c>
      <c r="M5" s="176" t="s">
        <v>83</v>
      </c>
      <c r="N5" s="175" t="s">
        <v>51</v>
      </c>
      <c r="O5" s="176" t="s">
        <v>83</v>
      </c>
      <c r="P5" s="175" t="s">
        <v>51</v>
      </c>
      <c r="Q5" s="177" t="s">
        <v>83</v>
      </c>
    </row>
    <row r="6" spans="1:17" ht="20.100000000000001" customHeight="1" x14ac:dyDescent="0.25">
      <c r="A6" s="147">
        <v>1</v>
      </c>
      <c r="B6" s="178" t="s">
        <v>19</v>
      </c>
      <c r="C6" s="179">
        <v>2650</v>
      </c>
      <c r="D6" s="180">
        <v>118</v>
      </c>
      <c r="E6" s="181">
        <f>D6*100/C6</f>
        <v>4.4528301886792452</v>
      </c>
      <c r="F6" s="180">
        <v>129</v>
      </c>
      <c r="G6" s="181">
        <f>F6*100/C6</f>
        <v>4.867924528301887</v>
      </c>
      <c r="H6" s="180">
        <v>511</v>
      </c>
      <c r="I6" s="181">
        <f>H6*100/C6</f>
        <v>19.283018867924529</v>
      </c>
      <c r="J6" s="180">
        <v>147</v>
      </c>
      <c r="K6" s="181">
        <f>J6*100/C6</f>
        <v>5.5471698113207548</v>
      </c>
      <c r="L6" s="180">
        <v>95</v>
      </c>
      <c r="M6" s="181">
        <f>L6*100/C6</f>
        <v>3.5849056603773586</v>
      </c>
      <c r="N6" s="180">
        <v>309</v>
      </c>
      <c r="O6" s="181">
        <f>N6*100/C6</f>
        <v>11.660377358490566</v>
      </c>
      <c r="P6" s="180">
        <v>282</v>
      </c>
      <c r="Q6" s="182">
        <f>P6*100/C6</f>
        <v>10.641509433962264</v>
      </c>
    </row>
    <row r="7" spans="1:17" ht="20.100000000000001" customHeight="1" x14ac:dyDescent="0.25">
      <c r="A7" s="62">
        <v>2</v>
      </c>
      <c r="B7" s="183" t="s">
        <v>20</v>
      </c>
      <c r="C7" s="122">
        <v>1660</v>
      </c>
      <c r="D7" s="67">
        <v>73</v>
      </c>
      <c r="E7" s="184">
        <f t="shared" ref="E7:E21" si="0">D7*100/C7</f>
        <v>4.3975903614457827</v>
      </c>
      <c r="F7" s="67">
        <v>64</v>
      </c>
      <c r="G7" s="184">
        <f t="shared" ref="G7:G21" si="1">F7*100/C7</f>
        <v>3.8554216867469879</v>
      </c>
      <c r="H7" s="67">
        <v>331</v>
      </c>
      <c r="I7" s="184">
        <f t="shared" ref="I7:I21" si="2">H7*100/C7</f>
        <v>19.939759036144579</v>
      </c>
      <c r="J7" s="67">
        <v>133</v>
      </c>
      <c r="K7" s="184">
        <f t="shared" ref="K7:K21" si="3">J7*100/C7</f>
        <v>8.0120481927710845</v>
      </c>
      <c r="L7" s="67">
        <v>73</v>
      </c>
      <c r="M7" s="184">
        <f t="shared" ref="M7:M21" si="4">L7*100/C7</f>
        <v>4.3975903614457827</v>
      </c>
      <c r="N7" s="67">
        <v>161</v>
      </c>
      <c r="O7" s="184">
        <f t="shared" ref="O7:O21" si="5">N7*100/C7</f>
        <v>9.6987951807228914</v>
      </c>
      <c r="P7" s="67">
        <v>111</v>
      </c>
      <c r="Q7" s="185">
        <f t="shared" ref="Q7:Q21" si="6">P7*100/C7</f>
        <v>6.6867469879518069</v>
      </c>
    </row>
    <row r="8" spans="1:17" ht="20.100000000000001" customHeight="1" x14ac:dyDescent="0.25">
      <c r="A8" s="47">
        <v>3</v>
      </c>
      <c r="B8" s="178" t="s">
        <v>21</v>
      </c>
      <c r="C8" s="186">
        <v>1695</v>
      </c>
      <c r="D8" s="187">
        <v>77</v>
      </c>
      <c r="E8" s="181">
        <f t="shared" si="0"/>
        <v>4.5427728613569318</v>
      </c>
      <c r="F8" s="187">
        <v>68</v>
      </c>
      <c r="G8" s="181">
        <f t="shared" si="1"/>
        <v>4.0117994100294982</v>
      </c>
      <c r="H8" s="187">
        <v>308</v>
      </c>
      <c r="I8" s="181">
        <f t="shared" si="2"/>
        <v>18.171091445427727</v>
      </c>
      <c r="J8" s="187">
        <v>115</v>
      </c>
      <c r="K8" s="181">
        <f t="shared" si="3"/>
        <v>6.7846607669616521</v>
      </c>
      <c r="L8" s="187">
        <v>50</v>
      </c>
      <c r="M8" s="181">
        <f t="shared" si="4"/>
        <v>2.9498525073746311</v>
      </c>
      <c r="N8" s="187">
        <v>51</v>
      </c>
      <c r="O8" s="181">
        <f t="shared" si="5"/>
        <v>3.0088495575221237</v>
      </c>
      <c r="P8" s="187">
        <v>17</v>
      </c>
      <c r="Q8" s="182">
        <f t="shared" si="6"/>
        <v>1.0029498525073746</v>
      </c>
    </row>
    <row r="9" spans="1:17" ht="20.100000000000001" customHeight="1" x14ac:dyDescent="0.25">
      <c r="A9" s="62">
        <v>4</v>
      </c>
      <c r="B9" s="183" t="s">
        <v>22</v>
      </c>
      <c r="C9" s="122">
        <v>317</v>
      </c>
      <c r="D9" s="67">
        <v>12</v>
      </c>
      <c r="E9" s="184">
        <f t="shared" si="0"/>
        <v>3.7854889589905363</v>
      </c>
      <c r="F9" s="67">
        <v>7</v>
      </c>
      <c r="G9" s="184">
        <f t="shared" si="1"/>
        <v>2.2082018927444795</v>
      </c>
      <c r="H9" s="67">
        <v>58</v>
      </c>
      <c r="I9" s="184">
        <f t="shared" si="2"/>
        <v>18.296529968454259</v>
      </c>
      <c r="J9" s="67">
        <v>13</v>
      </c>
      <c r="K9" s="184">
        <f t="shared" si="3"/>
        <v>4.1009463722397479</v>
      </c>
      <c r="L9" s="67">
        <v>7</v>
      </c>
      <c r="M9" s="184">
        <f t="shared" si="4"/>
        <v>2.2082018927444795</v>
      </c>
      <c r="N9" s="67">
        <v>16</v>
      </c>
      <c r="O9" s="184">
        <f t="shared" si="5"/>
        <v>5.0473186119873814</v>
      </c>
      <c r="P9" s="67">
        <v>6</v>
      </c>
      <c r="Q9" s="185">
        <f t="shared" si="6"/>
        <v>1.8927444794952681</v>
      </c>
    </row>
    <row r="10" spans="1:17" ht="20.100000000000001" customHeight="1" x14ac:dyDescent="0.25">
      <c r="A10" s="74">
        <v>5</v>
      </c>
      <c r="B10" s="188" t="s">
        <v>23</v>
      </c>
      <c r="C10" s="186">
        <v>360</v>
      </c>
      <c r="D10" s="187">
        <v>19</v>
      </c>
      <c r="E10" s="181">
        <f t="shared" si="0"/>
        <v>5.2777777777777777</v>
      </c>
      <c r="F10" s="187">
        <v>6</v>
      </c>
      <c r="G10" s="181">
        <f t="shared" si="1"/>
        <v>1.6666666666666667</v>
      </c>
      <c r="H10" s="187">
        <v>82</v>
      </c>
      <c r="I10" s="181">
        <f t="shared" si="2"/>
        <v>22.777777777777779</v>
      </c>
      <c r="J10" s="187">
        <v>30</v>
      </c>
      <c r="K10" s="181">
        <f t="shared" si="3"/>
        <v>8.3333333333333339</v>
      </c>
      <c r="L10" s="187">
        <v>26</v>
      </c>
      <c r="M10" s="181">
        <f t="shared" si="4"/>
        <v>7.2222222222222223</v>
      </c>
      <c r="N10" s="187">
        <v>18</v>
      </c>
      <c r="O10" s="181">
        <f t="shared" si="5"/>
        <v>5</v>
      </c>
      <c r="P10" s="187">
        <v>14</v>
      </c>
      <c r="Q10" s="182">
        <f t="shared" si="6"/>
        <v>3.8888888888888888</v>
      </c>
    </row>
    <row r="11" spans="1:17" ht="20.100000000000001" customHeight="1" x14ac:dyDescent="0.25">
      <c r="A11" s="62">
        <v>6</v>
      </c>
      <c r="B11" s="183" t="s">
        <v>24</v>
      </c>
      <c r="C11" s="122">
        <v>654</v>
      </c>
      <c r="D11" s="67">
        <v>33</v>
      </c>
      <c r="E11" s="184">
        <f t="shared" si="0"/>
        <v>5.0458715596330279</v>
      </c>
      <c r="F11" s="67">
        <v>46</v>
      </c>
      <c r="G11" s="184">
        <f t="shared" si="1"/>
        <v>7.0336391437308867</v>
      </c>
      <c r="H11" s="67">
        <v>115</v>
      </c>
      <c r="I11" s="184">
        <f t="shared" si="2"/>
        <v>17.584097859327215</v>
      </c>
      <c r="J11" s="67">
        <v>37</v>
      </c>
      <c r="K11" s="184">
        <f t="shared" si="3"/>
        <v>5.6574923547400608</v>
      </c>
      <c r="L11" s="67">
        <v>22</v>
      </c>
      <c r="M11" s="184">
        <f t="shared" si="4"/>
        <v>3.3639143730886851</v>
      </c>
      <c r="N11" s="67">
        <v>44</v>
      </c>
      <c r="O11" s="184">
        <f t="shared" si="5"/>
        <v>6.7278287461773703</v>
      </c>
      <c r="P11" s="67">
        <v>3</v>
      </c>
      <c r="Q11" s="185">
        <f t="shared" si="6"/>
        <v>0.45871559633027525</v>
      </c>
    </row>
    <row r="12" spans="1:17" ht="20.100000000000001" customHeight="1" x14ac:dyDescent="0.25">
      <c r="A12" s="76">
        <v>7</v>
      </c>
      <c r="B12" s="189" t="s">
        <v>25</v>
      </c>
      <c r="C12" s="186">
        <v>498</v>
      </c>
      <c r="D12" s="187">
        <v>20</v>
      </c>
      <c r="E12" s="181">
        <f t="shared" si="0"/>
        <v>4.0160642570281126</v>
      </c>
      <c r="F12" s="187">
        <v>28</v>
      </c>
      <c r="G12" s="181">
        <f t="shared" si="1"/>
        <v>5.6224899598393572</v>
      </c>
      <c r="H12" s="187">
        <v>83</v>
      </c>
      <c r="I12" s="181">
        <f t="shared" si="2"/>
        <v>16.666666666666668</v>
      </c>
      <c r="J12" s="187">
        <v>40</v>
      </c>
      <c r="K12" s="181">
        <f t="shared" si="3"/>
        <v>8.0321285140562253</v>
      </c>
      <c r="L12" s="187">
        <v>14</v>
      </c>
      <c r="M12" s="181">
        <f t="shared" si="4"/>
        <v>2.8112449799196786</v>
      </c>
      <c r="N12" s="187">
        <v>27</v>
      </c>
      <c r="O12" s="181">
        <f t="shared" si="5"/>
        <v>5.4216867469879517</v>
      </c>
      <c r="P12" s="187">
        <v>5</v>
      </c>
      <c r="Q12" s="182">
        <f t="shared" si="6"/>
        <v>1.0040160642570282</v>
      </c>
    </row>
    <row r="13" spans="1:17" ht="20.100000000000001" customHeight="1" x14ac:dyDescent="0.25">
      <c r="A13" s="62">
        <v>8</v>
      </c>
      <c r="B13" s="183" t="s">
        <v>26</v>
      </c>
      <c r="C13" s="122">
        <v>1720</v>
      </c>
      <c r="D13" s="67">
        <v>108</v>
      </c>
      <c r="E13" s="184">
        <f t="shared" si="0"/>
        <v>6.2790697674418601</v>
      </c>
      <c r="F13" s="67">
        <v>109</v>
      </c>
      <c r="G13" s="184">
        <f t="shared" si="1"/>
        <v>6.3372093023255811</v>
      </c>
      <c r="H13" s="67">
        <v>439</v>
      </c>
      <c r="I13" s="184">
        <f t="shared" si="2"/>
        <v>25.523255813953487</v>
      </c>
      <c r="J13" s="67">
        <v>193</v>
      </c>
      <c r="K13" s="184">
        <f t="shared" si="3"/>
        <v>11.220930232558139</v>
      </c>
      <c r="L13" s="67">
        <v>39</v>
      </c>
      <c r="M13" s="184">
        <f t="shared" si="4"/>
        <v>2.2674418604651163</v>
      </c>
      <c r="N13" s="67">
        <v>258</v>
      </c>
      <c r="O13" s="184">
        <f t="shared" si="5"/>
        <v>15</v>
      </c>
      <c r="P13" s="67">
        <v>29</v>
      </c>
      <c r="Q13" s="185">
        <f t="shared" si="6"/>
        <v>1.6860465116279071</v>
      </c>
    </row>
    <row r="14" spans="1:17" ht="20.100000000000001" customHeight="1" x14ac:dyDescent="0.25">
      <c r="A14" s="76">
        <v>9</v>
      </c>
      <c r="B14" s="189" t="s">
        <v>27</v>
      </c>
      <c r="C14" s="186">
        <v>1023</v>
      </c>
      <c r="D14" s="187">
        <v>64</v>
      </c>
      <c r="E14" s="181">
        <f t="shared" si="0"/>
        <v>6.2561094819159333</v>
      </c>
      <c r="F14" s="187">
        <v>51</v>
      </c>
      <c r="G14" s="181">
        <f t="shared" si="1"/>
        <v>4.9853372434017595</v>
      </c>
      <c r="H14" s="187">
        <v>231</v>
      </c>
      <c r="I14" s="181">
        <f t="shared" si="2"/>
        <v>22.580645161290324</v>
      </c>
      <c r="J14" s="187">
        <v>92</v>
      </c>
      <c r="K14" s="181">
        <f t="shared" si="3"/>
        <v>8.9931573802541536</v>
      </c>
      <c r="L14" s="187">
        <v>16</v>
      </c>
      <c r="M14" s="181">
        <f t="shared" si="4"/>
        <v>1.5640273704789833</v>
      </c>
      <c r="N14" s="187">
        <v>92</v>
      </c>
      <c r="O14" s="181">
        <f t="shared" si="5"/>
        <v>8.9931573802541536</v>
      </c>
      <c r="P14" s="187">
        <v>43</v>
      </c>
      <c r="Q14" s="182">
        <f t="shared" si="6"/>
        <v>4.2033235581622677</v>
      </c>
    </row>
    <row r="15" spans="1:17" ht="20.100000000000001" customHeight="1" x14ac:dyDescent="0.25">
      <c r="A15" s="62">
        <v>10</v>
      </c>
      <c r="B15" s="183" t="s">
        <v>28</v>
      </c>
      <c r="C15" s="122">
        <v>1181</v>
      </c>
      <c r="D15" s="67">
        <v>72</v>
      </c>
      <c r="E15" s="184">
        <f t="shared" si="0"/>
        <v>6.096528365791702</v>
      </c>
      <c r="F15" s="67">
        <v>68</v>
      </c>
      <c r="G15" s="184">
        <f t="shared" si="1"/>
        <v>5.7578323454699412</v>
      </c>
      <c r="H15" s="67">
        <v>214</v>
      </c>
      <c r="I15" s="184">
        <f t="shared" si="2"/>
        <v>18.120237087214225</v>
      </c>
      <c r="J15" s="67">
        <v>84</v>
      </c>
      <c r="K15" s="184">
        <f t="shared" si="3"/>
        <v>7.1126164267569854</v>
      </c>
      <c r="L15" s="67">
        <v>33</v>
      </c>
      <c r="M15" s="184">
        <f t="shared" si="4"/>
        <v>2.7942421676545299</v>
      </c>
      <c r="N15" s="67">
        <v>68</v>
      </c>
      <c r="O15" s="184">
        <f t="shared" si="5"/>
        <v>5.7578323454699412</v>
      </c>
      <c r="P15" s="67">
        <v>25</v>
      </c>
      <c r="Q15" s="185">
        <f t="shared" si="6"/>
        <v>2.1168501270110078</v>
      </c>
    </row>
    <row r="16" spans="1:17" ht="20.100000000000001" customHeight="1" x14ac:dyDescent="0.25">
      <c r="A16" s="76">
        <v>11</v>
      </c>
      <c r="B16" s="189" t="s">
        <v>29</v>
      </c>
      <c r="C16" s="186">
        <v>627</v>
      </c>
      <c r="D16" s="187">
        <v>65</v>
      </c>
      <c r="E16" s="181">
        <f t="shared" si="0"/>
        <v>10.36682615629984</v>
      </c>
      <c r="F16" s="187">
        <v>41</v>
      </c>
      <c r="G16" s="181">
        <f t="shared" si="1"/>
        <v>6.5390749601275919</v>
      </c>
      <c r="H16" s="187">
        <v>159</v>
      </c>
      <c r="I16" s="181">
        <f t="shared" si="2"/>
        <v>25.358851674641148</v>
      </c>
      <c r="J16" s="187">
        <v>82</v>
      </c>
      <c r="K16" s="181">
        <f t="shared" si="3"/>
        <v>13.078149920255184</v>
      </c>
      <c r="L16" s="187">
        <v>19</v>
      </c>
      <c r="M16" s="181">
        <f t="shared" si="4"/>
        <v>3.0303030303030303</v>
      </c>
      <c r="N16" s="187">
        <v>48</v>
      </c>
      <c r="O16" s="181">
        <f t="shared" si="5"/>
        <v>7.6555023923444976</v>
      </c>
      <c r="P16" s="187">
        <v>58</v>
      </c>
      <c r="Q16" s="182">
        <f t="shared" si="6"/>
        <v>9.2503987240829346</v>
      </c>
    </row>
    <row r="17" spans="1:17" ht="20.100000000000001" customHeight="1" x14ac:dyDescent="0.25">
      <c r="A17" s="79">
        <v>12</v>
      </c>
      <c r="B17" s="190" t="s">
        <v>30</v>
      </c>
      <c r="C17" s="122">
        <v>929</v>
      </c>
      <c r="D17" s="67">
        <v>64</v>
      </c>
      <c r="E17" s="184">
        <f t="shared" si="0"/>
        <v>6.8891280947255114</v>
      </c>
      <c r="F17" s="67">
        <v>47</v>
      </c>
      <c r="G17" s="184">
        <f t="shared" si="1"/>
        <v>5.059203444564047</v>
      </c>
      <c r="H17" s="67">
        <v>174</v>
      </c>
      <c r="I17" s="184">
        <f t="shared" si="2"/>
        <v>18.729817007534983</v>
      </c>
      <c r="J17" s="67">
        <v>82</v>
      </c>
      <c r="K17" s="184">
        <f t="shared" si="3"/>
        <v>8.8266953713670606</v>
      </c>
      <c r="L17" s="67">
        <v>18</v>
      </c>
      <c r="M17" s="184">
        <f t="shared" si="4"/>
        <v>1.9375672766415502</v>
      </c>
      <c r="N17" s="67">
        <v>57</v>
      </c>
      <c r="O17" s="184">
        <f t="shared" si="5"/>
        <v>6.1356297093649088</v>
      </c>
      <c r="P17" s="67">
        <v>9</v>
      </c>
      <c r="Q17" s="185">
        <f t="shared" si="6"/>
        <v>0.96878363832077508</v>
      </c>
    </row>
    <row r="18" spans="1:17" ht="20.100000000000001" customHeight="1" x14ac:dyDescent="0.25">
      <c r="A18" s="47">
        <v>13</v>
      </c>
      <c r="B18" s="178" t="s">
        <v>31</v>
      </c>
      <c r="C18" s="186">
        <v>366</v>
      </c>
      <c r="D18" s="187">
        <v>8</v>
      </c>
      <c r="E18" s="181">
        <f t="shared" si="0"/>
        <v>2.1857923497267762</v>
      </c>
      <c r="F18" s="187">
        <v>14</v>
      </c>
      <c r="G18" s="181">
        <f t="shared" si="1"/>
        <v>3.8251366120218577</v>
      </c>
      <c r="H18" s="187">
        <v>64</v>
      </c>
      <c r="I18" s="181">
        <f t="shared" si="2"/>
        <v>17.486338797814209</v>
      </c>
      <c r="J18" s="187">
        <v>11</v>
      </c>
      <c r="K18" s="181">
        <f t="shared" si="3"/>
        <v>3.0054644808743167</v>
      </c>
      <c r="L18" s="187">
        <v>12</v>
      </c>
      <c r="M18" s="181">
        <f t="shared" si="4"/>
        <v>3.278688524590164</v>
      </c>
      <c r="N18" s="187">
        <v>7</v>
      </c>
      <c r="O18" s="181">
        <f t="shared" si="5"/>
        <v>1.9125683060109289</v>
      </c>
      <c r="P18" s="187">
        <v>10</v>
      </c>
      <c r="Q18" s="182">
        <f t="shared" si="6"/>
        <v>2.7322404371584699</v>
      </c>
    </row>
    <row r="19" spans="1:17" ht="20.100000000000001" customHeight="1" x14ac:dyDescent="0.25">
      <c r="A19" s="62">
        <v>14</v>
      </c>
      <c r="B19" s="183" t="s">
        <v>32</v>
      </c>
      <c r="C19" s="122">
        <v>603</v>
      </c>
      <c r="D19" s="67">
        <v>32</v>
      </c>
      <c r="E19" s="184">
        <f t="shared" si="0"/>
        <v>5.3067993366500827</v>
      </c>
      <c r="F19" s="67">
        <v>32</v>
      </c>
      <c r="G19" s="184">
        <f t="shared" si="1"/>
        <v>5.3067993366500827</v>
      </c>
      <c r="H19" s="67">
        <v>104</v>
      </c>
      <c r="I19" s="184">
        <f t="shared" si="2"/>
        <v>17.247097844112769</v>
      </c>
      <c r="J19" s="67">
        <v>42</v>
      </c>
      <c r="K19" s="184">
        <f t="shared" si="3"/>
        <v>6.9651741293532341</v>
      </c>
      <c r="L19" s="67">
        <v>40</v>
      </c>
      <c r="M19" s="184">
        <f t="shared" si="4"/>
        <v>6.6334991708126037</v>
      </c>
      <c r="N19" s="67">
        <v>44</v>
      </c>
      <c r="O19" s="184">
        <f t="shared" si="5"/>
        <v>7.2968490878938637</v>
      </c>
      <c r="P19" s="67">
        <v>38</v>
      </c>
      <c r="Q19" s="185">
        <f t="shared" si="6"/>
        <v>6.3018242122719732</v>
      </c>
    </row>
    <row r="20" spans="1:17" ht="20.100000000000001" customHeight="1" thickBot="1" x14ac:dyDescent="0.3">
      <c r="A20" s="74">
        <v>15</v>
      </c>
      <c r="B20" s="188" t="s">
        <v>33</v>
      </c>
      <c r="C20" s="186">
        <v>59</v>
      </c>
      <c r="D20" s="187">
        <v>2</v>
      </c>
      <c r="E20" s="181">
        <f t="shared" si="0"/>
        <v>3.3898305084745761</v>
      </c>
      <c r="F20" s="187">
        <v>7</v>
      </c>
      <c r="G20" s="181">
        <f t="shared" si="1"/>
        <v>11.864406779661017</v>
      </c>
      <c r="H20" s="187">
        <v>14</v>
      </c>
      <c r="I20" s="181">
        <f t="shared" si="2"/>
        <v>23.728813559322035</v>
      </c>
      <c r="J20" s="187">
        <v>4</v>
      </c>
      <c r="K20" s="181">
        <f t="shared" si="3"/>
        <v>6.7796610169491522</v>
      </c>
      <c r="L20" s="187"/>
      <c r="M20" s="181">
        <f t="shared" si="4"/>
        <v>0</v>
      </c>
      <c r="N20" s="187">
        <v>7</v>
      </c>
      <c r="O20" s="181">
        <f t="shared" si="5"/>
        <v>11.864406779661017</v>
      </c>
      <c r="P20" s="187">
        <v>16</v>
      </c>
      <c r="Q20" s="182">
        <f t="shared" si="6"/>
        <v>27.118644067796609</v>
      </c>
    </row>
    <row r="21" spans="1:17" ht="20.100000000000001" customHeight="1" thickBot="1" x14ac:dyDescent="0.3">
      <c r="A21" s="88" t="s">
        <v>35</v>
      </c>
      <c r="B21" s="191"/>
      <c r="C21" s="192">
        <f>SUM(C6:C20)</f>
        <v>14342</v>
      </c>
      <c r="D21" s="192">
        <f>SUM(D6:D20)</f>
        <v>767</v>
      </c>
      <c r="E21" s="94">
        <f t="shared" si="0"/>
        <v>5.347929159113094</v>
      </c>
      <c r="F21" s="192">
        <f>SUM(F6:F20)</f>
        <v>717</v>
      </c>
      <c r="G21" s="94">
        <f t="shared" si="1"/>
        <v>4.9993027471761264</v>
      </c>
      <c r="H21" s="192">
        <f>SUM(H6:H20)</f>
        <v>2887</v>
      </c>
      <c r="I21" s="94">
        <f t="shared" si="2"/>
        <v>20.129689025240552</v>
      </c>
      <c r="J21" s="192">
        <f>SUM(J6:J20)</f>
        <v>1105</v>
      </c>
      <c r="K21" s="94">
        <f t="shared" si="3"/>
        <v>7.7046437038070001</v>
      </c>
      <c r="L21" s="192">
        <f>SUM(L6:L20)</f>
        <v>464</v>
      </c>
      <c r="M21" s="94">
        <f t="shared" si="4"/>
        <v>3.2352531027750664</v>
      </c>
      <c r="N21" s="192">
        <f>SUM(N6:N20)</f>
        <v>1207</v>
      </c>
      <c r="O21" s="94">
        <f t="shared" si="5"/>
        <v>8.4158415841584162</v>
      </c>
      <c r="P21" s="192">
        <f>SUM(P6:P20)</f>
        <v>666</v>
      </c>
      <c r="Q21" s="127">
        <f t="shared" si="6"/>
        <v>4.643703807000418</v>
      </c>
    </row>
    <row r="22" spans="1:17" ht="19.5" customHeight="1" x14ac:dyDescent="0.25">
      <c r="B22" s="3" t="s">
        <v>84</v>
      </c>
      <c r="C22" s="3" t="s">
        <v>85</v>
      </c>
    </row>
    <row r="23" spans="1:17" x14ac:dyDescent="0.25"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</row>
    <row r="24" spans="1:17" s="164" customFormat="1" ht="11.25" x14ac:dyDescent="0.2"/>
  </sheetData>
  <protectedRanges>
    <protectedRange sqref="B6:B20" name="Диапазон1_1" securityDescriptor="O:WDG:WDD:(A;;CC;;;WD)"/>
  </protectedRanges>
  <mergeCells count="15">
    <mergeCell ref="J4:K4"/>
    <mergeCell ref="L4:M4"/>
    <mergeCell ref="N4:O4"/>
    <mergeCell ref="P4:Q4"/>
    <mergeCell ref="A21:B21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conditionalFormatting sqref="A24:XFD24">
    <cfRule type="containsText" dxfId="7" priority="8" operator="containsText" text="лож">
      <formula>NOT(ISERROR(SEARCH("лож",A24)))</formula>
    </cfRule>
  </conditionalFormatting>
  <conditionalFormatting sqref="E6:E21">
    <cfRule type="cellIs" dxfId="6" priority="7" stopIfTrue="1" operator="greaterThan">
      <formula>E$21</formula>
    </cfRule>
  </conditionalFormatting>
  <conditionalFormatting sqref="G6:G21">
    <cfRule type="cellIs" dxfId="5" priority="6" stopIfTrue="1" operator="greaterThan">
      <formula>G$21</formula>
    </cfRule>
  </conditionalFormatting>
  <conditionalFormatting sqref="I6:I21">
    <cfRule type="cellIs" dxfId="4" priority="5" stopIfTrue="1" operator="greaterThan">
      <formula>I$21</formula>
    </cfRule>
  </conditionalFormatting>
  <conditionalFormatting sqref="K6:K21">
    <cfRule type="cellIs" dxfId="3" priority="4" stopIfTrue="1" operator="greaterThan">
      <formula>K$21</formula>
    </cfRule>
  </conditionalFormatting>
  <conditionalFormatting sqref="M6:M21">
    <cfRule type="cellIs" dxfId="2" priority="3" stopIfTrue="1" operator="greaterThan">
      <formula>M$21</formula>
    </cfRule>
  </conditionalFormatting>
  <conditionalFormatting sqref="O6:O21">
    <cfRule type="cellIs" dxfId="1" priority="2" stopIfTrue="1" operator="greaterThan">
      <formula>O$21</formula>
    </cfRule>
  </conditionalFormatting>
  <conditionalFormatting sqref="Q6:Q21">
    <cfRule type="cellIs" dxfId="0" priority="1" stopIfTrue="1" operator="greaterThan">
      <formula>Q$21</formula>
    </cfRule>
  </conditionalFormatting>
  <printOptions horizontalCentered="1"/>
  <pageMargins left="0.39370078740157483" right="0.19685039370078741" top="0.59055118110236227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FC9B-2481-45C1-B4AE-59DE68609CA8}">
  <dimension ref="A1:AB25"/>
  <sheetViews>
    <sheetView showZeros="0" zoomScaleNormal="100" zoomScaleSheetLayoutView="85" workbookViewId="0">
      <selection activeCell="N14" sqref="N14"/>
    </sheetView>
  </sheetViews>
  <sheetFormatPr defaultColWidth="9.140625" defaultRowHeight="15" x14ac:dyDescent="0.25"/>
  <cols>
    <col min="1" max="1" width="3.85546875" style="161" customWidth="1"/>
    <col min="2" max="2" width="10.5703125" style="3" bestFit="1" customWidth="1"/>
    <col min="3" max="3" width="9.5703125" style="3" customWidth="1"/>
    <col min="4" max="4" width="8.42578125" style="3" customWidth="1"/>
    <col min="5" max="6" width="5.42578125" style="3" customWidth="1"/>
    <col min="7" max="7" width="6.5703125" style="3" customWidth="1"/>
    <col min="8" max="12" width="5.42578125" style="3" customWidth="1"/>
    <col min="13" max="14" width="6.7109375" style="3" customWidth="1"/>
    <col min="15" max="24" width="5.42578125" style="3" customWidth="1"/>
    <col min="25" max="26" width="9.140625" style="3"/>
    <col min="27" max="27" width="10" style="3" bestFit="1" customWidth="1"/>
    <col min="28" max="16384" width="9.140625" style="3"/>
  </cols>
  <sheetData>
    <row r="1" spans="1:28" ht="18.75" customHeight="1" x14ac:dyDescent="0.25">
      <c r="A1" s="1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8" ht="18.75" x14ac:dyDescent="0.25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8" s="107" customFormat="1" ht="15.75" customHeight="1" thickBot="1" x14ac:dyDescent="0.3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34" t="s">
        <v>53</v>
      </c>
      <c r="V3" s="134"/>
      <c r="W3" s="134"/>
      <c r="X3" s="134"/>
    </row>
    <row r="4" spans="1:28" ht="91.5" customHeight="1" x14ac:dyDescent="0.25">
      <c r="A4" s="7" t="s">
        <v>3</v>
      </c>
      <c r="B4" s="135" t="s">
        <v>4</v>
      </c>
      <c r="C4" s="136" t="s">
        <v>54</v>
      </c>
      <c r="D4" s="109" t="s">
        <v>55</v>
      </c>
      <c r="E4" s="137" t="s">
        <v>56</v>
      </c>
      <c r="F4" s="137"/>
      <c r="G4" s="137" t="s">
        <v>57</v>
      </c>
      <c r="H4" s="137"/>
      <c r="I4" s="137" t="s">
        <v>58</v>
      </c>
      <c r="J4" s="137"/>
      <c r="K4" s="137" t="s">
        <v>59</v>
      </c>
      <c r="L4" s="137"/>
      <c r="M4" s="138" t="s">
        <v>60</v>
      </c>
      <c r="N4" s="138"/>
      <c r="O4" s="137" t="s">
        <v>61</v>
      </c>
      <c r="P4" s="137"/>
      <c r="Q4" s="137" t="s">
        <v>62</v>
      </c>
      <c r="R4" s="137"/>
      <c r="S4" s="137" t="s">
        <v>63</v>
      </c>
      <c r="T4" s="137"/>
      <c r="U4" s="137" t="s">
        <v>64</v>
      </c>
      <c r="V4" s="137"/>
      <c r="W4" s="137" t="s">
        <v>65</v>
      </c>
      <c r="X4" s="139"/>
      <c r="Y4" s="140"/>
      <c r="Z4" s="140"/>
      <c r="AA4" s="140"/>
      <c r="AB4" s="140"/>
    </row>
    <row r="5" spans="1:28" ht="53.25" customHeight="1" thickBot="1" x14ac:dyDescent="0.3">
      <c r="A5" s="31"/>
      <c r="B5" s="141"/>
      <c r="C5" s="142"/>
      <c r="D5" s="143"/>
      <c r="E5" s="144" t="s">
        <v>51</v>
      </c>
      <c r="F5" s="145" t="s">
        <v>66</v>
      </c>
      <c r="G5" s="144" t="s">
        <v>51</v>
      </c>
      <c r="H5" s="145" t="s">
        <v>67</v>
      </c>
      <c r="I5" s="144" t="s">
        <v>51</v>
      </c>
      <c r="J5" s="145" t="s">
        <v>67</v>
      </c>
      <c r="K5" s="144" t="s">
        <v>51</v>
      </c>
      <c r="L5" s="145" t="s">
        <v>67</v>
      </c>
      <c r="M5" s="144" t="s">
        <v>51</v>
      </c>
      <c r="N5" s="145" t="s">
        <v>67</v>
      </c>
      <c r="O5" s="144" t="s">
        <v>51</v>
      </c>
      <c r="P5" s="145" t="s">
        <v>67</v>
      </c>
      <c r="Q5" s="144" t="s">
        <v>51</v>
      </c>
      <c r="R5" s="145" t="s">
        <v>67</v>
      </c>
      <c r="S5" s="144" t="s">
        <v>51</v>
      </c>
      <c r="T5" s="145" t="s">
        <v>67</v>
      </c>
      <c r="U5" s="144" t="s">
        <v>51</v>
      </c>
      <c r="V5" s="145" t="s">
        <v>67</v>
      </c>
      <c r="W5" s="144" t="s">
        <v>51</v>
      </c>
      <c r="X5" s="146" t="s">
        <v>67</v>
      </c>
    </row>
    <row r="6" spans="1:28" ht="18" customHeight="1" x14ac:dyDescent="0.25">
      <c r="A6" s="147">
        <v>1</v>
      </c>
      <c r="B6" s="48" t="s">
        <v>19</v>
      </c>
      <c r="C6" s="148">
        <v>3720</v>
      </c>
      <c r="D6" s="149">
        <f>C6/'[1]жами-2026'!D7*100</f>
        <v>27.846395688300024</v>
      </c>
      <c r="E6" s="57">
        <v>90</v>
      </c>
      <c r="F6" s="149">
        <f>E6*100/C6</f>
        <v>2.4193548387096775</v>
      </c>
      <c r="G6" s="57">
        <v>2123</v>
      </c>
      <c r="H6" s="149">
        <f>G6*100/C6</f>
        <v>57.06989247311828</v>
      </c>
      <c r="I6" s="57">
        <v>308</v>
      </c>
      <c r="J6" s="149">
        <f>I6*100/C6</f>
        <v>8.279569892473118</v>
      </c>
      <c r="K6" s="57">
        <v>15</v>
      </c>
      <c r="L6" s="149">
        <f>K6*100/C6</f>
        <v>0.40322580645161288</v>
      </c>
      <c r="M6" s="57">
        <v>38</v>
      </c>
      <c r="N6" s="149">
        <f>M6*100/C6</f>
        <v>1.021505376344086</v>
      </c>
      <c r="O6" s="57">
        <v>166</v>
      </c>
      <c r="P6" s="149">
        <f>O6*100/C6</f>
        <v>4.4623655913978491</v>
      </c>
      <c r="Q6" s="57">
        <v>67</v>
      </c>
      <c r="R6" s="149">
        <f>Q6*100/C6</f>
        <v>1.8010752688172043</v>
      </c>
      <c r="S6" s="57">
        <v>37</v>
      </c>
      <c r="T6" s="149">
        <f>S6*100/C6</f>
        <v>0.9946236559139785</v>
      </c>
      <c r="U6" s="57">
        <v>33</v>
      </c>
      <c r="V6" s="149">
        <f>U6*100/C6</f>
        <v>0.88709677419354838</v>
      </c>
      <c r="W6" s="57">
        <v>152</v>
      </c>
      <c r="X6" s="150">
        <f>W6*100/C6</f>
        <v>4.086021505376344</v>
      </c>
      <c r="Z6" s="61"/>
    </row>
    <row r="7" spans="1:28" ht="18" customHeight="1" x14ac:dyDescent="0.25">
      <c r="A7" s="62">
        <v>2</v>
      </c>
      <c r="B7" s="63" t="s">
        <v>20</v>
      </c>
      <c r="C7" s="151">
        <v>2068</v>
      </c>
      <c r="D7" s="68">
        <f>C7/'[1]жами-2026'!D8*100</f>
        <v>28.178225916337375</v>
      </c>
      <c r="E7" s="67">
        <v>123</v>
      </c>
      <c r="F7" s="68">
        <f t="shared" ref="F7:F21" si="0">E7*100/C7</f>
        <v>5.9477756286266921</v>
      </c>
      <c r="G7" s="67">
        <v>1008</v>
      </c>
      <c r="H7" s="68">
        <f t="shared" ref="H7:H21" si="1">G7*100/C7</f>
        <v>48.742746615087043</v>
      </c>
      <c r="I7" s="67">
        <v>160</v>
      </c>
      <c r="J7" s="68">
        <f t="shared" ref="J7:J21" si="2">I7*100/C7</f>
        <v>7.7369439071566735</v>
      </c>
      <c r="K7" s="67">
        <v>9</v>
      </c>
      <c r="L7" s="68">
        <f t="shared" ref="L7:L21" si="3">K7*100/C7</f>
        <v>0.43520309477756286</v>
      </c>
      <c r="M7" s="67">
        <v>53</v>
      </c>
      <c r="N7" s="68">
        <f t="shared" ref="N7:N21" si="4">M7*100/C7</f>
        <v>2.5628626692456478</v>
      </c>
      <c r="O7" s="67">
        <v>81</v>
      </c>
      <c r="P7" s="68">
        <f t="shared" ref="P7:P21" si="5">O7*100/C7</f>
        <v>3.9168278529980656</v>
      </c>
      <c r="Q7" s="67">
        <v>19</v>
      </c>
      <c r="R7" s="68">
        <f t="shared" ref="R7:R21" si="6">Q7*100/C7</f>
        <v>0.9187620889748549</v>
      </c>
      <c r="S7" s="67">
        <v>33</v>
      </c>
      <c r="T7" s="68">
        <f t="shared" ref="T7:T21" si="7">S7*100/C7</f>
        <v>1.5957446808510638</v>
      </c>
      <c r="U7" s="67">
        <v>24</v>
      </c>
      <c r="V7" s="68">
        <f t="shared" ref="V7:V21" si="8">U7*100/C7</f>
        <v>1.1605415860735009</v>
      </c>
      <c r="W7" s="67">
        <v>71</v>
      </c>
      <c r="X7" s="70">
        <f t="shared" ref="X7:X21" si="9">W7*100/C7</f>
        <v>3.4332688588007736</v>
      </c>
      <c r="Z7" s="61"/>
    </row>
    <row r="8" spans="1:28" ht="18" customHeight="1" x14ac:dyDescent="0.25">
      <c r="A8" s="47">
        <v>3</v>
      </c>
      <c r="B8" s="48" t="s">
        <v>21</v>
      </c>
      <c r="C8" s="152">
        <v>1946</v>
      </c>
      <c r="D8" s="123">
        <f>C8/'[1]жами-2026'!D9*100</f>
        <v>27.851724631458424</v>
      </c>
      <c r="E8" s="52">
        <v>51</v>
      </c>
      <c r="F8" s="123">
        <f t="shared" si="0"/>
        <v>2.620760534429599</v>
      </c>
      <c r="G8" s="52">
        <v>929</v>
      </c>
      <c r="H8" s="123">
        <f t="shared" si="1"/>
        <v>47.738951695786227</v>
      </c>
      <c r="I8" s="52">
        <v>227</v>
      </c>
      <c r="J8" s="123">
        <f t="shared" si="2"/>
        <v>11.664953751284687</v>
      </c>
      <c r="K8" s="52">
        <v>7</v>
      </c>
      <c r="L8" s="123">
        <f t="shared" si="3"/>
        <v>0.35971223021582732</v>
      </c>
      <c r="M8" s="52">
        <v>113</v>
      </c>
      <c r="N8" s="123">
        <f t="shared" si="4"/>
        <v>5.8067831449126412</v>
      </c>
      <c r="O8" s="52">
        <v>31</v>
      </c>
      <c r="P8" s="123">
        <f t="shared" si="5"/>
        <v>1.5930113052415211</v>
      </c>
      <c r="Q8" s="52">
        <v>13</v>
      </c>
      <c r="R8" s="123">
        <f t="shared" si="6"/>
        <v>0.66803699897225077</v>
      </c>
      <c r="S8" s="52">
        <v>23</v>
      </c>
      <c r="T8" s="123">
        <f t="shared" si="7"/>
        <v>1.1819116135662899</v>
      </c>
      <c r="U8" s="52">
        <v>33</v>
      </c>
      <c r="V8" s="123">
        <f t="shared" si="8"/>
        <v>1.6957862281603289</v>
      </c>
      <c r="W8" s="52">
        <v>74</v>
      </c>
      <c r="X8" s="124">
        <f t="shared" si="9"/>
        <v>3.8026721479958892</v>
      </c>
      <c r="Z8" s="61"/>
    </row>
    <row r="9" spans="1:28" ht="18" customHeight="1" x14ac:dyDescent="0.25">
      <c r="A9" s="62">
        <v>4</v>
      </c>
      <c r="B9" s="63" t="s">
        <v>22</v>
      </c>
      <c r="C9" s="151">
        <v>643</v>
      </c>
      <c r="D9" s="68">
        <f>C9/'[1]жами-2026'!D10*100</f>
        <v>30.973025048169557</v>
      </c>
      <c r="E9" s="67">
        <v>27</v>
      </c>
      <c r="F9" s="68">
        <f t="shared" si="0"/>
        <v>4.1990668740279942</v>
      </c>
      <c r="G9" s="67">
        <v>229</v>
      </c>
      <c r="H9" s="68">
        <f t="shared" si="1"/>
        <v>35.614307931570764</v>
      </c>
      <c r="I9" s="67">
        <v>62</v>
      </c>
      <c r="J9" s="68">
        <f t="shared" si="2"/>
        <v>9.6423017107309494</v>
      </c>
      <c r="K9" s="67">
        <v>4</v>
      </c>
      <c r="L9" s="68">
        <f t="shared" si="3"/>
        <v>0.62208398133748055</v>
      </c>
      <c r="M9" s="67">
        <v>20</v>
      </c>
      <c r="N9" s="68">
        <f t="shared" si="4"/>
        <v>3.1104199066874028</v>
      </c>
      <c r="O9" s="67">
        <v>31</v>
      </c>
      <c r="P9" s="68">
        <f t="shared" si="5"/>
        <v>4.8211508553654747</v>
      </c>
      <c r="Q9" s="67">
        <v>3</v>
      </c>
      <c r="R9" s="68">
        <f t="shared" si="6"/>
        <v>0.46656298600311041</v>
      </c>
      <c r="S9" s="67">
        <v>4</v>
      </c>
      <c r="T9" s="68">
        <f t="shared" si="7"/>
        <v>0.62208398133748055</v>
      </c>
      <c r="U9" s="67">
        <v>25</v>
      </c>
      <c r="V9" s="68">
        <f t="shared" si="8"/>
        <v>3.8880248833592534</v>
      </c>
      <c r="W9" s="67">
        <v>42</v>
      </c>
      <c r="X9" s="70">
        <f t="shared" si="9"/>
        <v>6.5318818040435458</v>
      </c>
      <c r="Z9" s="61"/>
    </row>
    <row r="10" spans="1:28" ht="18" customHeight="1" x14ac:dyDescent="0.25">
      <c r="A10" s="74">
        <v>5</v>
      </c>
      <c r="B10" s="75" t="s">
        <v>23</v>
      </c>
      <c r="C10" s="152">
        <v>679</v>
      </c>
      <c r="D10" s="123">
        <f>C10/'[1]жами-2026'!D11*100</f>
        <v>27.793696275071632</v>
      </c>
      <c r="E10" s="52">
        <v>48</v>
      </c>
      <c r="F10" s="123">
        <f t="shared" si="0"/>
        <v>7.0692194403534607</v>
      </c>
      <c r="G10" s="52">
        <v>208</v>
      </c>
      <c r="H10" s="123">
        <f t="shared" si="1"/>
        <v>30.633284241531666</v>
      </c>
      <c r="I10" s="52">
        <v>57</v>
      </c>
      <c r="J10" s="123">
        <f t="shared" si="2"/>
        <v>8.3946980854197353</v>
      </c>
      <c r="K10" s="52">
        <v>5</v>
      </c>
      <c r="L10" s="123">
        <f t="shared" si="3"/>
        <v>0.7363770250368189</v>
      </c>
      <c r="M10" s="52">
        <v>27</v>
      </c>
      <c r="N10" s="123">
        <f t="shared" si="4"/>
        <v>3.9764359351988219</v>
      </c>
      <c r="O10" s="52">
        <v>24</v>
      </c>
      <c r="P10" s="123">
        <f t="shared" si="5"/>
        <v>3.5346097201767304</v>
      </c>
      <c r="Q10" s="52">
        <v>3</v>
      </c>
      <c r="R10" s="123">
        <f t="shared" si="6"/>
        <v>0.4418262150220913</v>
      </c>
      <c r="S10" s="52">
        <v>8</v>
      </c>
      <c r="T10" s="123">
        <f t="shared" si="7"/>
        <v>1.1782032400589102</v>
      </c>
      <c r="U10" s="52">
        <v>28</v>
      </c>
      <c r="V10" s="123">
        <f t="shared" si="8"/>
        <v>4.1237113402061851</v>
      </c>
      <c r="W10" s="52">
        <v>45</v>
      </c>
      <c r="X10" s="124">
        <f t="shared" si="9"/>
        <v>6.6273932253313701</v>
      </c>
      <c r="Z10" s="61"/>
    </row>
    <row r="11" spans="1:28" ht="18" customHeight="1" x14ac:dyDescent="0.25">
      <c r="A11" s="62">
        <v>6</v>
      </c>
      <c r="B11" s="63" t="s">
        <v>24</v>
      </c>
      <c r="C11" s="151">
        <v>1272</v>
      </c>
      <c r="D11" s="68">
        <f>C11/'[1]жами-2026'!D12*100</f>
        <v>30.120767227089747</v>
      </c>
      <c r="E11" s="67">
        <v>17</v>
      </c>
      <c r="F11" s="68">
        <f t="shared" si="0"/>
        <v>1.3364779874213837</v>
      </c>
      <c r="G11" s="67">
        <v>377</v>
      </c>
      <c r="H11" s="68">
        <f t="shared" si="1"/>
        <v>29.638364779874212</v>
      </c>
      <c r="I11" s="67">
        <v>123</v>
      </c>
      <c r="J11" s="68">
        <f t="shared" si="2"/>
        <v>9.6698113207547163</v>
      </c>
      <c r="K11" s="67">
        <v>11</v>
      </c>
      <c r="L11" s="68">
        <f t="shared" si="3"/>
        <v>0.86477987421383651</v>
      </c>
      <c r="M11" s="67">
        <v>211</v>
      </c>
      <c r="N11" s="68">
        <f t="shared" si="4"/>
        <v>16.588050314465409</v>
      </c>
      <c r="O11" s="67">
        <v>33</v>
      </c>
      <c r="P11" s="68">
        <f t="shared" si="5"/>
        <v>2.5943396226415096</v>
      </c>
      <c r="Q11" s="67">
        <v>18</v>
      </c>
      <c r="R11" s="68">
        <f t="shared" si="6"/>
        <v>1.4150943396226414</v>
      </c>
      <c r="S11" s="67">
        <v>33</v>
      </c>
      <c r="T11" s="68">
        <f t="shared" si="7"/>
        <v>2.5943396226415096</v>
      </c>
      <c r="U11" s="67">
        <v>17</v>
      </c>
      <c r="V11" s="68">
        <f t="shared" si="8"/>
        <v>1.3364779874213837</v>
      </c>
      <c r="W11" s="67">
        <v>54</v>
      </c>
      <c r="X11" s="70">
        <f t="shared" si="9"/>
        <v>4.2452830188679247</v>
      </c>
      <c r="Z11" s="61"/>
    </row>
    <row r="12" spans="1:28" ht="18" customHeight="1" x14ac:dyDescent="0.25">
      <c r="A12" s="76">
        <v>7</v>
      </c>
      <c r="B12" s="77" t="s">
        <v>25</v>
      </c>
      <c r="C12" s="152">
        <v>767</v>
      </c>
      <c r="D12" s="123">
        <f>C12/'[1]жами-2026'!D13*100</f>
        <v>28.354898336414045</v>
      </c>
      <c r="E12" s="52">
        <v>24</v>
      </c>
      <c r="F12" s="123">
        <f t="shared" si="0"/>
        <v>3.1290743155149934</v>
      </c>
      <c r="G12" s="52">
        <v>257</v>
      </c>
      <c r="H12" s="123">
        <f t="shared" si="1"/>
        <v>33.507170795306386</v>
      </c>
      <c r="I12" s="52">
        <v>70</v>
      </c>
      <c r="J12" s="123">
        <f t="shared" si="2"/>
        <v>9.1264667535853974</v>
      </c>
      <c r="K12" s="52">
        <v>6</v>
      </c>
      <c r="L12" s="123">
        <f t="shared" si="3"/>
        <v>0.78226857887874834</v>
      </c>
      <c r="M12" s="52">
        <v>55</v>
      </c>
      <c r="N12" s="123">
        <f t="shared" si="4"/>
        <v>7.170795306388527</v>
      </c>
      <c r="O12" s="52">
        <v>13</v>
      </c>
      <c r="P12" s="123">
        <f t="shared" si="5"/>
        <v>1.6949152542372881</v>
      </c>
      <c r="Q12" s="52">
        <v>16</v>
      </c>
      <c r="R12" s="123">
        <f t="shared" si="6"/>
        <v>2.0860495436766624</v>
      </c>
      <c r="S12" s="52">
        <v>8</v>
      </c>
      <c r="T12" s="123">
        <f t="shared" si="7"/>
        <v>1.0430247718383312</v>
      </c>
      <c r="U12" s="52">
        <v>11</v>
      </c>
      <c r="V12" s="123">
        <f t="shared" si="8"/>
        <v>1.4341590612777053</v>
      </c>
      <c r="W12" s="52">
        <v>38</v>
      </c>
      <c r="X12" s="124">
        <f t="shared" si="9"/>
        <v>4.9543676662320726</v>
      </c>
      <c r="Z12" s="61"/>
    </row>
    <row r="13" spans="1:28" ht="18" customHeight="1" x14ac:dyDescent="0.25">
      <c r="A13" s="62">
        <v>8</v>
      </c>
      <c r="B13" s="63" t="s">
        <v>26</v>
      </c>
      <c r="C13" s="151">
        <v>2194</v>
      </c>
      <c r="D13" s="68">
        <f>C13/'[1]жами-2026'!D14*100</f>
        <v>29.842219804134928</v>
      </c>
      <c r="E13" s="67">
        <v>87</v>
      </c>
      <c r="F13" s="68">
        <f t="shared" si="0"/>
        <v>3.9653600729261624</v>
      </c>
      <c r="G13" s="67">
        <v>1237</v>
      </c>
      <c r="H13" s="68">
        <f t="shared" si="1"/>
        <v>56.381039197812214</v>
      </c>
      <c r="I13" s="67">
        <v>164</v>
      </c>
      <c r="J13" s="68">
        <f t="shared" si="2"/>
        <v>7.4749316317228809</v>
      </c>
      <c r="K13" s="67">
        <v>11</v>
      </c>
      <c r="L13" s="68">
        <f t="shared" si="3"/>
        <v>0.50136736554238837</v>
      </c>
      <c r="M13" s="67">
        <v>42</v>
      </c>
      <c r="N13" s="68">
        <f t="shared" si="4"/>
        <v>1.9143117593436645</v>
      </c>
      <c r="O13" s="67">
        <v>41</v>
      </c>
      <c r="P13" s="68">
        <f t="shared" si="5"/>
        <v>1.8687329079307202</v>
      </c>
      <c r="Q13" s="67">
        <v>4</v>
      </c>
      <c r="R13" s="68">
        <f t="shared" si="6"/>
        <v>0.18231540565177756</v>
      </c>
      <c r="S13" s="67">
        <v>19</v>
      </c>
      <c r="T13" s="68">
        <f t="shared" si="7"/>
        <v>0.86599817684594349</v>
      </c>
      <c r="U13" s="67">
        <v>35</v>
      </c>
      <c r="V13" s="68">
        <f t="shared" si="8"/>
        <v>1.5952597994530537</v>
      </c>
      <c r="W13" s="67">
        <v>53</v>
      </c>
      <c r="X13" s="70">
        <f t="shared" si="9"/>
        <v>2.415679124886053</v>
      </c>
      <c r="Z13" s="61"/>
    </row>
    <row r="14" spans="1:28" ht="18" customHeight="1" x14ac:dyDescent="0.25">
      <c r="A14" s="76">
        <v>9</v>
      </c>
      <c r="B14" s="77" t="s">
        <v>27</v>
      </c>
      <c r="C14" s="152">
        <v>1531</v>
      </c>
      <c r="D14" s="123">
        <f>C14/'[1]жами-2026'!D15*100</f>
        <v>27.605481428056255</v>
      </c>
      <c r="E14" s="52">
        <v>80</v>
      </c>
      <c r="F14" s="123">
        <f t="shared" si="0"/>
        <v>5.2253429131286744</v>
      </c>
      <c r="G14" s="52">
        <v>635</v>
      </c>
      <c r="H14" s="123">
        <f t="shared" si="1"/>
        <v>41.476159372958847</v>
      </c>
      <c r="I14" s="52">
        <v>117</v>
      </c>
      <c r="J14" s="123">
        <f t="shared" si="2"/>
        <v>7.6420640104506861</v>
      </c>
      <c r="K14" s="52">
        <v>5</v>
      </c>
      <c r="L14" s="123">
        <f t="shared" si="3"/>
        <v>0.32658393207054215</v>
      </c>
      <c r="M14" s="52">
        <v>22</v>
      </c>
      <c r="N14" s="123">
        <f t="shared" si="4"/>
        <v>1.4369693011103855</v>
      </c>
      <c r="O14" s="52">
        <v>25</v>
      </c>
      <c r="P14" s="123">
        <f t="shared" si="5"/>
        <v>1.6329196603527107</v>
      </c>
      <c r="Q14" s="52">
        <v>7</v>
      </c>
      <c r="R14" s="123">
        <f t="shared" si="6"/>
        <v>0.45721750489875901</v>
      </c>
      <c r="S14" s="52">
        <v>28</v>
      </c>
      <c r="T14" s="123">
        <f t="shared" si="7"/>
        <v>1.828870019595036</v>
      </c>
      <c r="U14" s="52">
        <v>30</v>
      </c>
      <c r="V14" s="123">
        <f t="shared" si="8"/>
        <v>1.9595035924232527</v>
      </c>
      <c r="W14" s="52">
        <v>104</v>
      </c>
      <c r="X14" s="124">
        <f t="shared" si="9"/>
        <v>6.7929457870672767</v>
      </c>
      <c r="Z14" s="61"/>
    </row>
    <row r="15" spans="1:28" ht="18" customHeight="1" x14ac:dyDescent="0.25">
      <c r="A15" s="62">
        <v>10</v>
      </c>
      <c r="B15" s="63" t="s">
        <v>28</v>
      </c>
      <c r="C15" s="151">
        <v>1459</v>
      </c>
      <c r="D15" s="68">
        <f>C15/'[1]жами-2026'!D16*100</f>
        <v>22.882685069008783</v>
      </c>
      <c r="E15" s="67">
        <v>83</v>
      </c>
      <c r="F15" s="68">
        <f t="shared" si="0"/>
        <v>5.6888279643591497</v>
      </c>
      <c r="G15" s="67">
        <v>560</v>
      </c>
      <c r="H15" s="68">
        <f t="shared" si="1"/>
        <v>38.382453735435227</v>
      </c>
      <c r="I15" s="67">
        <v>134</v>
      </c>
      <c r="J15" s="68">
        <f t="shared" si="2"/>
        <v>9.1843728581220017</v>
      </c>
      <c r="K15" s="67">
        <v>11</v>
      </c>
      <c r="L15" s="68">
        <f t="shared" si="3"/>
        <v>0.7539410555174777</v>
      </c>
      <c r="M15" s="67">
        <v>63</v>
      </c>
      <c r="N15" s="68">
        <f t="shared" si="4"/>
        <v>4.3180260452364632</v>
      </c>
      <c r="O15" s="67">
        <v>27</v>
      </c>
      <c r="P15" s="68">
        <f t="shared" si="5"/>
        <v>1.850582590815627</v>
      </c>
      <c r="Q15" s="67">
        <v>4</v>
      </c>
      <c r="R15" s="68">
        <f t="shared" si="6"/>
        <v>0.27416038382453733</v>
      </c>
      <c r="S15" s="67">
        <v>24</v>
      </c>
      <c r="T15" s="68">
        <f t="shared" si="7"/>
        <v>1.6449623029472242</v>
      </c>
      <c r="U15" s="67">
        <v>23</v>
      </c>
      <c r="V15" s="68">
        <f t="shared" si="8"/>
        <v>1.5764222069910898</v>
      </c>
      <c r="W15" s="67">
        <v>78</v>
      </c>
      <c r="X15" s="70">
        <f t="shared" si="9"/>
        <v>5.3461274845784788</v>
      </c>
      <c r="Z15" s="61"/>
    </row>
    <row r="16" spans="1:28" ht="18" customHeight="1" x14ac:dyDescent="0.25">
      <c r="A16" s="76">
        <v>11</v>
      </c>
      <c r="B16" s="77" t="s">
        <v>29</v>
      </c>
      <c r="C16" s="152">
        <v>897</v>
      </c>
      <c r="D16" s="123">
        <f>C16/'[1]жами-2026'!D17*100</f>
        <v>17.137944210928545</v>
      </c>
      <c r="E16" s="52">
        <v>38</v>
      </c>
      <c r="F16" s="123">
        <f t="shared" si="0"/>
        <v>4.2363433667781498</v>
      </c>
      <c r="G16" s="52">
        <v>326</v>
      </c>
      <c r="H16" s="123">
        <f t="shared" si="1"/>
        <v>36.343366778149388</v>
      </c>
      <c r="I16" s="52">
        <v>77</v>
      </c>
      <c r="J16" s="123">
        <f t="shared" si="2"/>
        <v>8.5841694537346704</v>
      </c>
      <c r="K16" s="52">
        <v>9</v>
      </c>
      <c r="L16" s="123">
        <f t="shared" si="3"/>
        <v>1.0033444816053512</v>
      </c>
      <c r="M16" s="52">
        <v>24</v>
      </c>
      <c r="N16" s="123">
        <f t="shared" si="4"/>
        <v>2.6755852842809364</v>
      </c>
      <c r="O16" s="52">
        <v>17</v>
      </c>
      <c r="P16" s="123">
        <f t="shared" si="5"/>
        <v>1.89520624303233</v>
      </c>
      <c r="Q16" s="52">
        <v>5</v>
      </c>
      <c r="R16" s="123">
        <f t="shared" si="6"/>
        <v>0.55741360089186176</v>
      </c>
      <c r="S16" s="52">
        <v>10</v>
      </c>
      <c r="T16" s="123">
        <f t="shared" si="7"/>
        <v>1.1148272017837235</v>
      </c>
      <c r="U16" s="52">
        <v>25</v>
      </c>
      <c r="V16" s="123">
        <f t="shared" si="8"/>
        <v>2.787068004459309</v>
      </c>
      <c r="W16" s="52">
        <v>68</v>
      </c>
      <c r="X16" s="124">
        <f t="shared" si="9"/>
        <v>7.5808249721293199</v>
      </c>
      <c r="Z16" s="61"/>
    </row>
    <row r="17" spans="1:26" ht="18" customHeight="1" x14ac:dyDescent="0.25">
      <c r="A17" s="79">
        <v>12</v>
      </c>
      <c r="B17" s="80" t="s">
        <v>30</v>
      </c>
      <c r="C17" s="151">
        <v>1031</v>
      </c>
      <c r="D17" s="68">
        <f>C17/'[1]жами-2026'!D18*100</f>
        <v>16.236220472440944</v>
      </c>
      <c r="E17" s="67">
        <v>36</v>
      </c>
      <c r="F17" s="68">
        <f t="shared" si="0"/>
        <v>3.4917555771096023</v>
      </c>
      <c r="G17" s="67">
        <v>266</v>
      </c>
      <c r="H17" s="68">
        <f t="shared" si="1"/>
        <v>25.80019398642095</v>
      </c>
      <c r="I17" s="67">
        <v>86</v>
      </c>
      <c r="J17" s="68">
        <f t="shared" si="2"/>
        <v>8.3414161008729391</v>
      </c>
      <c r="K17" s="67">
        <v>6</v>
      </c>
      <c r="L17" s="68">
        <f t="shared" si="3"/>
        <v>0.58195926285160038</v>
      </c>
      <c r="M17" s="67">
        <v>63</v>
      </c>
      <c r="N17" s="68">
        <f t="shared" si="4"/>
        <v>6.1105722599418044</v>
      </c>
      <c r="O17" s="67">
        <v>14</v>
      </c>
      <c r="P17" s="68">
        <f t="shared" si="5"/>
        <v>1.3579049466537343</v>
      </c>
      <c r="Q17" s="67">
        <v>23</v>
      </c>
      <c r="R17" s="68">
        <f t="shared" si="6"/>
        <v>2.2308438409311346</v>
      </c>
      <c r="S17" s="67">
        <v>30</v>
      </c>
      <c r="T17" s="68">
        <f t="shared" si="7"/>
        <v>2.9097963142580019</v>
      </c>
      <c r="U17" s="67">
        <v>36</v>
      </c>
      <c r="V17" s="68">
        <f t="shared" si="8"/>
        <v>3.4917555771096023</v>
      </c>
      <c r="W17" s="67">
        <v>87</v>
      </c>
      <c r="X17" s="70">
        <f t="shared" si="9"/>
        <v>8.4384093113482059</v>
      </c>
      <c r="Z17" s="61"/>
    </row>
    <row r="18" spans="1:26" ht="18" customHeight="1" x14ac:dyDescent="0.25">
      <c r="A18" s="47">
        <v>13</v>
      </c>
      <c r="B18" s="48" t="s">
        <v>31</v>
      </c>
      <c r="C18" s="152">
        <v>834</v>
      </c>
      <c r="D18" s="123">
        <f>C18/'[1]жами-2026'!D19*100</f>
        <v>30.627983841351451</v>
      </c>
      <c r="E18" s="52">
        <v>11</v>
      </c>
      <c r="F18" s="123">
        <f t="shared" si="0"/>
        <v>1.3189448441247003</v>
      </c>
      <c r="G18" s="52">
        <v>300</v>
      </c>
      <c r="H18" s="123">
        <f t="shared" si="1"/>
        <v>35.97122302158273</v>
      </c>
      <c r="I18" s="52">
        <v>98</v>
      </c>
      <c r="J18" s="123">
        <f t="shared" si="2"/>
        <v>11.750599520383693</v>
      </c>
      <c r="K18" s="52">
        <v>9</v>
      </c>
      <c r="L18" s="123">
        <f t="shared" si="3"/>
        <v>1.079136690647482</v>
      </c>
      <c r="M18" s="52">
        <v>33</v>
      </c>
      <c r="N18" s="123">
        <f t="shared" si="4"/>
        <v>3.9568345323741005</v>
      </c>
      <c r="O18" s="52">
        <v>14</v>
      </c>
      <c r="P18" s="123">
        <f t="shared" si="5"/>
        <v>1.6786570743405276</v>
      </c>
      <c r="Q18" s="52">
        <v>28</v>
      </c>
      <c r="R18" s="123">
        <f t="shared" si="6"/>
        <v>3.3573141486810552</v>
      </c>
      <c r="S18" s="52">
        <v>17</v>
      </c>
      <c r="T18" s="123">
        <f t="shared" si="7"/>
        <v>2.0383693045563551</v>
      </c>
      <c r="U18" s="52">
        <v>19</v>
      </c>
      <c r="V18" s="123">
        <f t="shared" si="8"/>
        <v>2.2781774580335732</v>
      </c>
      <c r="W18" s="52">
        <v>44</v>
      </c>
      <c r="X18" s="124">
        <f t="shared" si="9"/>
        <v>5.275779376498801</v>
      </c>
      <c r="Z18" s="61"/>
    </row>
    <row r="19" spans="1:26" ht="18" customHeight="1" x14ac:dyDescent="0.25">
      <c r="A19" s="62">
        <v>14</v>
      </c>
      <c r="B19" s="63" t="s">
        <v>32</v>
      </c>
      <c r="C19" s="151">
        <v>472</v>
      </c>
      <c r="D19" s="68">
        <f>C19/'[1]жами-2026'!D20*100</f>
        <v>18.531605810757753</v>
      </c>
      <c r="E19" s="67">
        <v>18</v>
      </c>
      <c r="F19" s="68">
        <f t="shared" si="0"/>
        <v>3.8135593220338984</v>
      </c>
      <c r="G19" s="67">
        <v>98</v>
      </c>
      <c r="H19" s="68">
        <f t="shared" si="1"/>
        <v>20.762711864406779</v>
      </c>
      <c r="I19" s="67">
        <v>62</v>
      </c>
      <c r="J19" s="68">
        <f t="shared" si="2"/>
        <v>13.135593220338983</v>
      </c>
      <c r="K19" s="67">
        <v>3</v>
      </c>
      <c r="L19" s="68">
        <f t="shared" si="3"/>
        <v>0.63559322033898302</v>
      </c>
      <c r="M19" s="67">
        <v>41</v>
      </c>
      <c r="N19" s="68">
        <f t="shared" si="4"/>
        <v>8.6864406779661021</v>
      </c>
      <c r="O19" s="67">
        <v>29</v>
      </c>
      <c r="P19" s="68">
        <f t="shared" si="5"/>
        <v>6.1440677966101696</v>
      </c>
      <c r="Q19" s="67">
        <v>13</v>
      </c>
      <c r="R19" s="68">
        <f t="shared" si="6"/>
        <v>2.7542372881355934</v>
      </c>
      <c r="S19" s="67">
        <v>25</v>
      </c>
      <c r="T19" s="68">
        <f t="shared" si="7"/>
        <v>5.2966101694915251</v>
      </c>
      <c r="U19" s="67">
        <v>13</v>
      </c>
      <c r="V19" s="68">
        <f t="shared" si="8"/>
        <v>2.7542372881355934</v>
      </c>
      <c r="W19" s="67">
        <v>44</v>
      </c>
      <c r="X19" s="70">
        <f t="shared" si="9"/>
        <v>9.3220338983050848</v>
      </c>
      <c r="Z19" s="61"/>
    </row>
    <row r="20" spans="1:26" ht="18" customHeight="1" thickBot="1" x14ac:dyDescent="0.3">
      <c r="A20" s="153">
        <v>15</v>
      </c>
      <c r="B20" s="154" t="s">
        <v>33</v>
      </c>
      <c r="C20" s="155">
        <v>242</v>
      </c>
      <c r="D20" s="156">
        <f>C20/'[1]жами-2026'!D21*100</f>
        <v>79.867986798679866</v>
      </c>
      <c r="E20" s="157">
        <v>1</v>
      </c>
      <c r="F20" s="156">
        <f t="shared" si="0"/>
        <v>0.41322314049586778</v>
      </c>
      <c r="G20" s="157">
        <v>100</v>
      </c>
      <c r="H20" s="156">
        <f t="shared" si="1"/>
        <v>41.32231404958678</v>
      </c>
      <c r="I20" s="157">
        <v>2</v>
      </c>
      <c r="J20" s="156">
        <f t="shared" si="2"/>
        <v>0.82644628099173556</v>
      </c>
      <c r="K20" s="157"/>
      <c r="L20" s="156">
        <f t="shared" si="3"/>
        <v>0</v>
      </c>
      <c r="M20" s="157">
        <v>7</v>
      </c>
      <c r="N20" s="156">
        <f t="shared" si="4"/>
        <v>2.8925619834710745</v>
      </c>
      <c r="O20" s="157"/>
      <c r="P20" s="156">
        <f t="shared" si="5"/>
        <v>0</v>
      </c>
      <c r="Q20" s="157"/>
      <c r="R20" s="156">
        <f t="shared" si="6"/>
        <v>0</v>
      </c>
      <c r="S20" s="157">
        <v>3</v>
      </c>
      <c r="T20" s="156">
        <f t="shared" si="7"/>
        <v>1.2396694214876034</v>
      </c>
      <c r="U20" s="157">
        <v>9</v>
      </c>
      <c r="V20" s="156">
        <f t="shared" si="8"/>
        <v>3.71900826446281</v>
      </c>
      <c r="W20" s="157">
        <v>8</v>
      </c>
      <c r="X20" s="158">
        <f t="shared" si="9"/>
        <v>3.3057851239669422</v>
      </c>
      <c r="Z20" s="61"/>
    </row>
    <row r="21" spans="1:26" ht="18" customHeight="1" thickBot="1" x14ac:dyDescent="0.3">
      <c r="A21" s="88" t="s">
        <v>35</v>
      </c>
      <c r="B21" s="89"/>
      <c r="C21" s="159">
        <f>SUM(C6:C20)</f>
        <v>19755</v>
      </c>
      <c r="D21" s="94">
        <f>C21/'[1]жами-2026'!D22*100</f>
        <v>26.143747601339278</v>
      </c>
      <c r="E21" s="126">
        <f>SUM(E6:E20)</f>
        <v>734</v>
      </c>
      <c r="F21" s="94">
        <f t="shared" si="0"/>
        <v>3.715515059478613</v>
      </c>
      <c r="G21" s="126">
        <f>SUM(G6:G20)</f>
        <v>8653</v>
      </c>
      <c r="H21" s="94">
        <f t="shared" si="1"/>
        <v>43.801569222981527</v>
      </c>
      <c r="I21" s="126">
        <f>SUM(I6:I20)</f>
        <v>1747</v>
      </c>
      <c r="J21" s="94">
        <f t="shared" si="2"/>
        <v>8.8433308023285253</v>
      </c>
      <c r="K21" s="126">
        <f>SUM(K6:K20)</f>
        <v>111</v>
      </c>
      <c r="L21" s="94">
        <f t="shared" si="3"/>
        <v>0.56188306757782835</v>
      </c>
      <c r="M21" s="126">
        <f>SUM(M6:M20)</f>
        <v>812</v>
      </c>
      <c r="N21" s="94">
        <f t="shared" si="4"/>
        <v>4.1103518096684386</v>
      </c>
      <c r="O21" s="126">
        <f>SUM(O6:O20)</f>
        <v>546</v>
      </c>
      <c r="P21" s="94">
        <f t="shared" si="5"/>
        <v>2.7638572513287776</v>
      </c>
      <c r="Q21" s="126">
        <f>SUM(Q6:Q20)</f>
        <v>223</v>
      </c>
      <c r="R21" s="94">
        <f t="shared" si="6"/>
        <v>1.1288281447734752</v>
      </c>
      <c r="S21" s="126">
        <f>SUM(S6:S20)</f>
        <v>302</v>
      </c>
      <c r="T21" s="94">
        <f t="shared" si="7"/>
        <v>1.5287269045811187</v>
      </c>
      <c r="U21" s="126">
        <f>SUM(U6:U20)</f>
        <v>361</v>
      </c>
      <c r="V21" s="94">
        <f t="shared" si="8"/>
        <v>1.8273854720323968</v>
      </c>
      <c r="W21" s="126">
        <f>SUM(W6:W20)</f>
        <v>962</v>
      </c>
      <c r="X21" s="127">
        <f t="shared" si="9"/>
        <v>4.8696532523411795</v>
      </c>
      <c r="Z21" s="61"/>
    </row>
    <row r="22" spans="1:26" ht="17.25" customHeight="1" x14ac:dyDescent="0.25">
      <c r="A22" s="160"/>
      <c r="B22" s="3" t="s">
        <v>68</v>
      </c>
      <c r="C22" s="3" t="s">
        <v>69</v>
      </c>
    </row>
    <row r="23" spans="1:26" x14ac:dyDescent="0.25">
      <c r="C23" s="3" t="s">
        <v>70</v>
      </c>
    </row>
    <row r="24" spans="1:26" x14ac:dyDescent="0.25">
      <c r="C24" s="3" t="s">
        <v>71</v>
      </c>
      <c r="I24" s="162" t="s">
        <v>72</v>
      </c>
    </row>
    <row r="25" spans="1:26" s="164" customFormat="1" x14ac:dyDescent="0.25">
      <c r="A25" s="163"/>
      <c r="E25" s="165"/>
      <c r="G25" s="61"/>
    </row>
  </sheetData>
  <protectedRanges>
    <protectedRange sqref="B6:B20" name="Диапазон1_1" securityDescriptor="O:WDG:WDD:(A;;CC;;;WD)"/>
  </protectedRanges>
  <mergeCells count="19">
    <mergeCell ref="U4:V4"/>
    <mergeCell ref="W4:X4"/>
    <mergeCell ref="A21:B21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conditionalFormatting sqref="A25:F25 H25:XFD25">
    <cfRule type="containsText" dxfId="20" priority="13" operator="containsText" text="ложь">
      <formula>NOT(ISERROR(SEARCH("ложь",A25)))</formula>
    </cfRule>
  </conditionalFormatting>
  <conditionalFormatting sqref="C26:X27">
    <cfRule type="containsText" dxfId="19" priority="1" operator="containsText" text="лож">
      <formula>NOT(ISERROR(SEARCH("лож",C26)))</formula>
    </cfRule>
  </conditionalFormatting>
  <conditionalFormatting sqref="D6:D21">
    <cfRule type="cellIs" dxfId="18" priority="11" stopIfTrue="1" operator="lessThan">
      <formula>D$21</formula>
    </cfRule>
  </conditionalFormatting>
  <conditionalFormatting sqref="F6:F21">
    <cfRule type="cellIs" dxfId="17" priority="12" stopIfTrue="1" operator="lessThan">
      <formula>F$21</formula>
    </cfRule>
  </conditionalFormatting>
  <conditionalFormatting sqref="H6:H21">
    <cfRule type="cellIs" dxfId="16" priority="10" stopIfTrue="1" operator="lessThan">
      <formula>H$21</formula>
    </cfRule>
  </conditionalFormatting>
  <conditionalFormatting sqref="J6:J21">
    <cfRule type="cellIs" dxfId="15" priority="9" stopIfTrue="1" operator="lessThan">
      <formula>J$21</formula>
    </cfRule>
  </conditionalFormatting>
  <conditionalFormatting sqref="L6:L21">
    <cfRule type="cellIs" dxfId="14" priority="8" stopIfTrue="1" operator="lessThan">
      <formula>L$21</formula>
    </cfRule>
  </conditionalFormatting>
  <conditionalFormatting sqref="N6:N21">
    <cfRule type="cellIs" dxfId="13" priority="7" stopIfTrue="1" operator="lessThan">
      <formula>N$21</formula>
    </cfRule>
  </conditionalFormatting>
  <conditionalFormatting sqref="P6:P21">
    <cfRule type="cellIs" dxfId="12" priority="6" stopIfTrue="1" operator="lessThan">
      <formula>P$21</formula>
    </cfRule>
  </conditionalFormatting>
  <conditionalFormatting sqref="R6:R21">
    <cfRule type="cellIs" dxfId="11" priority="5" stopIfTrue="1" operator="lessThan">
      <formula>R$21</formula>
    </cfRule>
  </conditionalFormatting>
  <conditionalFormatting sqref="T6:T21">
    <cfRule type="cellIs" dxfId="10" priority="4" stopIfTrue="1" operator="lessThan">
      <formula>T$21</formula>
    </cfRule>
  </conditionalFormatting>
  <conditionalFormatting sqref="V6:V21">
    <cfRule type="cellIs" dxfId="9" priority="3" stopIfTrue="1" operator="lessThan">
      <formula>V$21</formula>
    </cfRule>
  </conditionalFormatting>
  <conditionalFormatting sqref="X6:X21">
    <cfRule type="cellIs" dxfId="8" priority="2" stopIfTrue="1" operator="lessThan">
      <formula>X$21</formula>
    </cfRule>
  </conditionalFormatting>
  <pageMargins left="0.39370078740157483" right="0.19685039370078741" top="0.59055118110236227" bottom="0.39370078740157483" header="0.31496062992125984" footer="0.31496062992125984"/>
  <pageSetup paperSize="9" scale="98" orientation="landscape" r:id="rId1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45056-669D-4FA4-9CBC-D2CD874E9966}">
  <dimension ref="A1:AB23"/>
  <sheetViews>
    <sheetView showZeros="0" zoomScale="85" zoomScaleNormal="85" zoomScaleSheetLayoutView="70" workbookViewId="0">
      <selection activeCell="Z18" sqref="Z18"/>
    </sheetView>
  </sheetViews>
  <sheetFormatPr defaultColWidth="9" defaultRowHeight="15" x14ac:dyDescent="0.25"/>
  <cols>
    <col min="1" max="1" width="3.42578125" style="133" customWidth="1"/>
    <col min="2" max="2" width="10.85546875" bestFit="1" customWidth="1"/>
    <col min="3" max="3" width="9.7109375" customWidth="1"/>
    <col min="4" max="4" width="9.28515625" bestFit="1" customWidth="1"/>
    <col min="5" max="5" width="5.28515625" customWidth="1"/>
    <col min="6" max="6" width="6" customWidth="1"/>
    <col min="7" max="7" width="4.7109375" bestFit="1" customWidth="1"/>
    <col min="8" max="8" width="6" customWidth="1"/>
    <col min="9" max="9" width="5.28515625" customWidth="1"/>
    <col min="10" max="10" width="6" customWidth="1"/>
    <col min="11" max="11" width="5.28515625" customWidth="1"/>
    <col min="12" max="12" width="6" customWidth="1"/>
    <col min="13" max="13" width="5.28515625" customWidth="1"/>
    <col min="14" max="14" width="6" customWidth="1"/>
    <col min="15" max="15" width="5.28515625" customWidth="1"/>
    <col min="16" max="16" width="7" customWidth="1"/>
    <col min="17" max="17" width="4.7109375" bestFit="1" customWidth="1"/>
    <col min="18" max="18" width="6" customWidth="1"/>
    <col min="19" max="19" width="4.7109375" bestFit="1" customWidth="1"/>
    <col min="20" max="20" width="6" customWidth="1"/>
    <col min="21" max="21" width="5.28515625" bestFit="1" customWidth="1"/>
    <col min="22" max="22" width="6" customWidth="1"/>
    <col min="23" max="23" width="6.28515625" customWidth="1"/>
    <col min="24" max="24" width="6" customWidth="1"/>
    <col min="25" max="25" width="5.28515625" customWidth="1"/>
    <col min="26" max="26" width="6" customWidth="1"/>
    <col min="27" max="27" width="5.28515625" customWidth="1"/>
    <col min="28" max="28" width="6" customWidth="1"/>
  </cols>
  <sheetData>
    <row r="1" spans="1:28" s="106" customFormat="1" ht="18.75" customHeight="1" x14ac:dyDescent="0.3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s="106" customFormat="1" ht="18.75" x14ac:dyDescent="0.3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s="107" customFormat="1" ht="17.25" customHeight="1" thickBot="1" x14ac:dyDescent="0.3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 t="s">
        <v>38</v>
      </c>
      <c r="AA3" s="6"/>
      <c r="AB3" s="6"/>
    </row>
    <row r="4" spans="1:28" ht="63" customHeight="1" x14ac:dyDescent="0.25">
      <c r="A4" s="7" t="s">
        <v>3</v>
      </c>
      <c r="B4" s="8" t="s">
        <v>4</v>
      </c>
      <c r="C4" s="108" t="s">
        <v>6</v>
      </c>
      <c r="D4" s="109" t="s">
        <v>11</v>
      </c>
      <c r="E4" s="110" t="s">
        <v>39</v>
      </c>
      <c r="F4" s="110"/>
      <c r="G4" s="110" t="s">
        <v>40</v>
      </c>
      <c r="H4" s="110"/>
      <c r="I4" s="110" t="s">
        <v>41</v>
      </c>
      <c r="J4" s="110"/>
      <c r="K4" s="110" t="s">
        <v>42</v>
      </c>
      <c r="L4" s="110"/>
      <c r="M4" s="110" t="s">
        <v>43</v>
      </c>
      <c r="N4" s="110"/>
      <c r="O4" s="110" t="s">
        <v>44</v>
      </c>
      <c r="P4" s="110"/>
      <c r="Q4" s="111" t="s">
        <v>45</v>
      </c>
      <c r="R4" s="111"/>
      <c r="S4" s="110" t="s">
        <v>46</v>
      </c>
      <c r="T4" s="110"/>
      <c r="U4" s="110" t="s">
        <v>47</v>
      </c>
      <c r="V4" s="110"/>
      <c r="W4" s="110" t="s">
        <v>48</v>
      </c>
      <c r="X4" s="110"/>
      <c r="Y4" s="110" t="s">
        <v>49</v>
      </c>
      <c r="Z4" s="110"/>
      <c r="AA4" s="110" t="s">
        <v>50</v>
      </c>
      <c r="AB4" s="112"/>
    </row>
    <row r="5" spans="1:28" ht="49.5" customHeight="1" thickBot="1" x14ac:dyDescent="0.3">
      <c r="A5" s="31"/>
      <c r="B5" s="32"/>
      <c r="C5" s="113"/>
      <c r="D5" s="114"/>
      <c r="E5" s="115" t="s">
        <v>51</v>
      </c>
      <c r="F5" s="116" t="s">
        <v>11</v>
      </c>
      <c r="G5" s="115" t="s">
        <v>51</v>
      </c>
      <c r="H5" s="116" t="s">
        <v>11</v>
      </c>
      <c r="I5" s="115" t="s">
        <v>51</v>
      </c>
      <c r="J5" s="116" t="s">
        <v>11</v>
      </c>
      <c r="K5" s="115" t="s">
        <v>51</v>
      </c>
      <c r="L5" s="116" t="s">
        <v>11</v>
      </c>
      <c r="M5" s="115" t="s">
        <v>51</v>
      </c>
      <c r="N5" s="116" t="s">
        <v>11</v>
      </c>
      <c r="O5" s="115" t="s">
        <v>51</v>
      </c>
      <c r="P5" s="116" t="s">
        <v>11</v>
      </c>
      <c r="Q5" s="115" t="s">
        <v>51</v>
      </c>
      <c r="R5" s="116" t="s">
        <v>11</v>
      </c>
      <c r="S5" s="115" t="s">
        <v>51</v>
      </c>
      <c r="T5" s="116" t="s">
        <v>11</v>
      </c>
      <c r="U5" s="115" t="s">
        <v>51</v>
      </c>
      <c r="V5" s="116" t="s">
        <v>11</v>
      </c>
      <c r="W5" s="115" t="s">
        <v>51</v>
      </c>
      <c r="X5" s="116" t="s">
        <v>11</v>
      </c>
      <c r="Y5" s="115" t="s">
        <v>51</v>
      </c>
      <c r="Z5" s="116" t="s">
        <v>11</v>
      </c>
      <c r="AA5" s="115" t="s">
        <v>51</v>
      </c>
      <c r="AB5" s="117" t="s">
        <v>11</v>
      </c>
    </row>
    <row r="6" spans="1:28" ht="24" customHeight="1" x14ac:dyDescent="0.25">
      <c r="A6" s="47">
        <v>1</v>
      </c>
      <c r="B6" s="48" t="s">
        <v>19</v>
      </c>
      <c r="C6" s="118">
        <v>2650</v>
      </c>
      <c r="D6" s="119">
        <f>C6*100000/'[1]жами-2026'!C7</f>
        <v>79.628265209599618</v>
      </c>
      <c r="E6" s="120">
        <v>17</v>
      </c>
      <c r="F6" s="119">
        <f>E6*100000/'[1]жами-2026'!C7</f>
        <v>0.51082283342007306</v>
      </c>
      <c r="G6" s="120">
        <v>42</v>
      </c>
      <c r="H6" s="119">
        <f>G6*100000/'[1]жами-2026'!C7</f>
        <v>1.2620328825672393</v>
      </c>
      <c r="I6" s="120">
        <v>115</v>
      </c>
      <c r="J6" s="119">
        <f>I6*100000/'[1]жами-2026'!C7</f>
        <v>3.4555662260769648</v>
      </c>
      <c r="K6" s="120">
        <v>104</v>
      </c>
      <c r="L6" s="119">
        <f>K6*100000/'[1]жами-2026'!C7</f>
        <v>3.1250338044522117</v>
      </c>
      <c r="M6" s="120">
        <v>19</v>
      </c>
      <c r="N6" s="119">
        <f>M6*100000/'[1]жами-2026'!C7</f>
        <v>0.57091963735184637</v>
      </c>
      <c r="O6" s="120">
        <v>22</v>
      </c>
      <c r="P6" s="119">
        <f>O6*100000/'[1]жами-2026'!C7</f>
        <v>0.66106484324950632</v>
      </c>
      <c r="Q6" s="120">
        <v>69</v>
      </c>
      <c r="R6" s="119">
        <f>Q6*100000/'[1]жами-2026'!C7</f>
        <v>2.0733397356461789</v>
      </c>
      <c r="S6" s="120">
        <v>63</v>
      </c>
      <c r="T6" s="119">
        <f>S6*100000/'[1]жами-2026'!C7</f>
        <v>1.893049323850859</v>
      </c>
      <c r="U6" s="120">
        <v>498</v>
      </c>
      <c r="V6" s="119">
        <f>U6*100000/'[1]жами-2026'!C7</f>
        <v>14.964104179011551</v>
      </c>
      <c r="W6" s="120">
        <v>831</v>
      </c>
      <c r="X6" s="119">
        <f>W6*100000/'[1]жами-2026'!C7</f>
        <v>24.970222033651805</v>
      </c>
      <c r="Y6" s="120">
        <v>20</v>
      </c>
      <c r="Z6" s="119">
        <f>Y6*100000/'[1]жами-2026'!C7</f>
        <v>0.60096803931773302</v>
      </c>
      <c r="AA6" s="120">
        <v>230</v>
      </c>
      <c r="AB6" s="121">
        <f>AA6*100000/'[1]жами-2026'!C7</f>
        <v>6.9111324521539297</v>
      </c>
    </row>
    <row r="7" spans="1:28" ht="24" customHeight="1" x14ac:dyDescent="0.25">
      <c r="A7" s="62">
        <v>2</v>
      </c>
      <c r="B7" s="63" t="s">
        <v>20</v>
      </c>
      <c r="C7" s="122">
        <v>1660</v>
      </c>
      <c r="D7" s="68">
        <f>C7*100000/'[1]жами-2026'!C8</f>
        <v>52.425003821340638</v>
      </c>
      <c r="E7" s="67">
        <v>29</v>
      </c>
      <c r="F7" s="68">
        <f>E7*100000/'[1]жами-2026'!C8</f>
        <v>0.91585850049330031</v>
      </c>
      <c r="G7" s="67">
        <v>44</v>
      </c>
      <c r="H7" s="68">
        <f>G7*100000/'[1]жами-2026'!C8</f>
        <v>1.3895784145415591</v>
      </c>
      <c r="I7" s="67">
        <v>59</v>
      </c>
      <c r="J7" s="68">
        <f>I7*100000/'[1]жами-2026'!C8</f>
        <v>1.8632983285898179</v>
      </c>
      <c r="K7" s="67">
        <v>77</v>
      </c>
      <c r="L7" s="68">
        <f>K7*100000/'[1]жами-2026'!C8</f>
        <v>2.4317622254477285</v>
      </c>
      <c r="M7" s="67">
        <v>35</v>
      </c>
      <c r="N7" s="68">
        <f>M7*100000/'[1]жами-2026'!C8</f>
        <v>1.1053464661126038</v>
      </c>
      <c r="O7" s="67">
        <v>5</v>
      </c>
      <c r="P7" s="68">
        <f>O7*100000/'[1]жами-2026'!C8</f>
        <v>0.15790663801608626</v>
      </c>
      <c r="Q7" s="67">
        <v>51</v>
      </c>
      <c r="R7" s="68">
        <f>Q7*100000/'[1]жами-2026'!C8</f>
        <v>1.61064770776408</v>
      </c>
      <c r="S7" s="67">
        <v>14</v>
      </c>
      <c r="T7" s="68">
        <f>S7*100000/'[1]жами-2026'!C8</f>
        <v>0.44213858644504156</v>
      </c>
      <c r="U7" s="67">
        <v>209</v>
      </c>
      <c r="V7" s="68">
        <f>U7*100000/'[1]жами-2026'!C8</f>
        <v>6.6004974690724056</v>
      </c>
      <c r="W7" s="67">
        <v>603</v>
      </c>
      <c r="X7" s="68">
        <f>W7*100000/'[1]жами-2026'!C8</f>
        <v>19.043540544740004</v>
      </c>
      <c r="Y7" s="67">
        <v>11</v>
      </c>
      <c r="Z7" s="68">
        <f>Y7*100000/'[1]жами-2026'!C8</f>
        <v>0.34739460363538976</v>
      </c>
      <c r="AA7" s="67">
        <v>78</v>
      </c>
      <c r="AB7" s="70">
        <f>AA7*100000/'[1]жами-2026'!C8</f>
        <v>2.4633435530509455</v>
      </c>
    </row>
    <row r="8" spans="1:28" ht="24" customHeight="1" x14ac:dyDescent="0.25">
      <c r="A8" s="47">
        <v>3</v>
      </c>
      <c r="B8" s="48" t="s">
        <v>21</v>
      </c>
      <c r="C8" s="49">
        <v>1695</v>
      </c>
      <c r="D8" s="123">
        <f>C8*100000/'[1]жами-2026'!C9</f>
        <v>38.84240912766824</v>
      </c>
      <c r="E8" s="52">
        <v>14</v>
      </c>
      <c r="F8" s="123">
        <f>E8*100000/'[1]жами-2026'!C9</f>
        <v>0.32082225828162558</v>
      </c>
      <c r="G8" s="52">
        <v>39</v>
      </c>
      <c r="H8" s="123">
        <f>G8*100000/'[1]жами-2026'!C9</f>
        <v>0.89371914807024266</v>
      </c>
      <c r="I8" s="52">
        <v>77</v>
      </c>
      <c r="J8" s="123">
        <f>I8*100000/'[1]жами-2026'!C9</f>
        <v>1.7645224205489407</v>
      </c>
      <c r="K8" s="52">
        <v>99</v>
      </c>
      <c r="L8" s="123">
        <f>K8*100000/'[1]жами-2026'!C9</f>
        <v>2.2686716835629235</v>
      </c>
      <c r="M8" s="52">
        <v>38</v>
      </c>
      <c r="N8" s="123">
        <f>M8*100000/'[1]жами-2026'!C9</f>
        <v>0.87080327247869793</v>
      </c>
      <c r="O8" s="52">
        <v>2</v>
      </c>
      <c r="P8" s="123">
        <f>O8*100000/'[1]жами-2026'!C9</f>
        <v>4.5831751183089367E-2</v>
      </c>
      <c r="Q8" s="52">
        <v>39</v>
      </c>
      <c r="R8" s="123">
        <f>Q8*100000/'[1]жами-2026'!C9</f>
        <v>0.89371914807024266</v>
      </c>
      <c r="S8" s="52">
        <v>17</v>
      </c>
      <c r="T8" s="123">
        <f>S8*100000/'[1]жами-2026'!C9</f>
        <v>0.38956988505625961</v>
      </c>
      <c r="U8" s="52">
        <v>222</v>
      </c>
      <c r="V8" s="123">
        <f>U8*100000/'[1]жами-2026'!C9</f>
        <v>5.0873243813229196</v>
      </c>
      <c r="W8" s="52">
        <v>532</v>
      </c>
      <c r="X8" s="123">
        <f>W8*100000/'[1]жами-2026'!C9</f>
        <v>12.191245814701771</v>
      </c>
      <c r="Y8" s="52">
        <v>8</v>
      </c>
      <c r="Z8" s="123">
        <f>Y8*100000/'[1]жами-2026'!C9</f>
        <v>0.18332700473235747</v>
      </c>
      <c r="AA8" s="52">
        <v>66</v>
      </c>
      <c r="AB8" s="124">
        <f>AA8*100000/'[1]жами-2026'!C9</f>
        <v>1.5124477890419492</v>
      </c>
    </row>
    <row r="9" spans="1:28" ht="24" customHeight="1" x14ac:dyDescent="0.25">
      <c r="A9" s="62">
        <v>4</v>
      </c>
      <c r="B9" s="63" t="s">
        <v>22</v>
      </c>
      <c r="C9" s="122">
        <v>317</v>
      </c>
      <c r="D9" s="68">
        <f>C9*100000/'[1]жами-2026'!C10</f>
        <v>33.752129471890974</v>
      </c>
      <c r="E9" s="67">
        <v>6</v>
      </c>
      <c r="F9" s="68">
        <f>E9*100000/'[1]жами-2026'!C10</f>
        <v>0.63884156729131181</v>
      </c>
      <c r="G9" s="67">
        <v>8</v>
      </c>
      <c r="H9" s="68">
        <f>G9*100000/'[1]жами-2026'!C10</f>
        <v>0.85178875638841567</v>
      </c>
      <c r="I9" s="67">
        <v>16</v>
      </c>
      <c r="J9" s="68">
        <f>I9*100000/'[1]жами-2026'!C10</f>
        <v>1.7035775127768313</v>
      </c>
      <c r="K9" s="67">
        <v>17</v>
      </c>
      <c r="L9" s="68">
        <f>K9*100000/'[1]жами-2026'!C10</f>
        <v>1.8100511073253833</v>
      </c>
      <c r="M9" s="67">
        <v>5</v>
      </c>
      <c r="N9" s="68">
        <f>M9*100000/'[1]жами-2026'!C10</f>
        <v>0.53236797274275982</v>
      </c>
      <c r="O9" s="67">
        <v>2</v>
      </c>
      <c r="P9" s="68">
        <f>O9*100000/'[1]жами-2026'!C10</f>
        <v>0.21294718909710392</v>
      </c>
      <c r="Q9" s="67">
        <v>7</v>
      </c>
      <c r="R9" s="68">
        <f>Q9*100000/'[1]жами-2026'!C10</f>
        <v>0.74531516183986368</v>
      </c>
      <c r="S9" s="67">
        <v>1</v>
      </c>
      <c r="T9" s="68">
        <f>S9*100000/'[1]жами-2026'!C10</f>
        <v>0.10647359454855196</v>
      </c>
      <c r="U9" s="67">
        <v>35</v>
      </c>
      <c r="V9" s="68">
        <f>U9*100000/'[1]жами-2026'!C10</f>
        <v>3.7265758091993186</v>
      </c>
      <c r="W9" s="67">
        <v>122</v>
      </c>
      <c r="X9" s="68">
        <f>W9*100000/'[1]жами-2026'!C10</f>
        <v>12.989778534923339</v>
      </c>
      <c r="Y9" s="67">
        <v>1</v>
      </c>
      <c r="Z9" s="68">
        <f>Y9*100000/'[1]жами-2026'!C10</f>
        <v>0.10647359454855196</v>
      </c>
      <c r="AA9" s="67">
        <v>10</v>
      </c>
      <c r="AB9" s="70">
        <f>AA9*100000/'[1]жами-2026'!C10</f>
        <v>1.0647359454855196</v>
      </c>
    </row>
    <row r="10" spans="1:28" ht="24" customHeight="1" x14ac:dyDescent="0.25">
      <c r="A10" s="74">
        <v>5</v>
      </c>
      <c r="B10" s="75" t="s">
        <v>23</v>
      </c>
      <c r="C10" s="49">
        <v>360</v>
      </c>
      <c r="D10" s="123">
        <f>C10*100000/'[1]жами-2026'!C11</f>
        <v>23.151542278574791</v>
      </c>
      <c r="E10" s="52">
        <v>3</v>
      </c>
      <c r="F10" s="123">
        <f>E10*100000/'[1]жами-2026'!C11</f>
        <v>0.19292951898812327</v>
      </c>
      <c r="G10" s="52">
        <v>9</v>
      </c>
      <c r="H10" s="123">
        <f>G10*100000/'[1]жами-2026'!C11</f>
        <v>0.57878855696436982</v>
      </c>
      <c r="I10" s="52">
        <v>28</v>
      </c>
      <c r="J10" s="123">
        <f>I10*100000/'[1]жами-2026'!C11</f>
        <v>1.800675510555817</v>
      </c>
      <c r="K10" s="52">
        <v>26</v>
      </c>
      <c r="L10" s="123">
        <f>K10*100000/'[1]жами-2026'!C11</f>
        <v>1.6720558312304015</v>
      </c>
      <c r="M10" s="52">
        <v>8</v>
      </c>
      <c r="N10" s="123">
        <f>M10*100000/'[1]жами-2026'!C11</f>
        <v>0.51447871730166206</v>
      </c>
      <c r="O10" s="52">
        <v>1</v>
      </c>
      <c r="P10" s="123">
        <f>O10*100000/'[1]жами-2026'!C11</f>
        <v>6.4309839662707757E-2</v>
      </c>
      <c r="Q10" s="52">
        <v>8</v>
      </c>
      <c r="R10" s="123">
        <f>Q10*100000/'[1]жами-2026'!C11</f>
        <v>0.51447871730166206</v>
      </c>
      <c r="S10" s="52">
        <v>2</v>
      </c>
      <c r="T10" s="123">
        <f>S10*100000/'[1]жами-2026'!C11</f>
        <v>0.12861967932541551</v>
      </c>
      <c r="U10" s="52">
        <v>26</v>
      </c>
      <c r="V10" s="123">
        <f>U10*100000/'[1]жами-2026'!C11</f>
        <v>1.6720558312304015</v>
      </c>
      <c r="W10" s="52">
        <v>118</v>
      </c>
      <c r="X10" s="123">
        <f>W10*100000/'[1]жами-2026'!C11</f>
        <v>7.5885610801995149</v>
      </c>
      <c r="Y10" s="52">
        <v>3</v>
      </c>
      <c r="Z10" s="123">
        <f>Y10*100000/'[1]жами-2026'!C11</f>
        <v>0.19292951898812327</v>
      </c>
      <c r="AA10" s="52">
        <v>12</v>
      </c>
      <c r="AB10" s="124">
        <f>AA10*100000/'[1]жами-2026'!C11</f>
        <v>0.77171807595249309</v>
      </c>
    </row>
    <row r="11" spans="1:28" ht="24" customHeight="1" x14ac:dyDescent="0.25">
      <c r="A11" s="62">
        <v>6</v>
      </c>
      <c r="B11" s="63" t="s">
        <v>24</v>
      </c>
      <c r="C11" s="122">
        <v>654</v>
      </c>
      <c r="D11" s="68">
        <f>C11*100000/'[1]жами-2026'!C12</f>
        <v>31.180035623429081</v>
      </c>
      <c r="E11" s="67">
        <v>5</v>
      </c>
      <c r="F11" s="68">
        <f>E11*100000/'[1]жами-2026'!C12</f>
        <v>0.23837947724334158</v>
      </c>
      <c r="G11" s="67">
        <v>10</v>
      </c>
      <c r="H11" s="68">
        <f>G11*100000/'[1]жами-2026'!C12</f>
        <v>0.47675895448668315</v>
      </c>
      <c r="I11" s="67">
        <v>24</v>
      </c>
      <c r="J11" s="68">
        <f>I11*100000/'[1]жами-2026'!C12</f>
        <v>1.1442214907680397</v>
      </c>
      <c r="K11" s="67">
        <v>18</v>
      </c>
      <c r="L11" s="68">
        <f>K11*100000/'[1]жами-2026'!C12</f>
        <v>0.85816611807602972</v>
      </c>
      <c r="M11" s="67">
        <v>17</v>
      </c>
      <c r="N11" s="68">
        <f>M11*100000/'[1]жами-2026'!C12</f>
        <v>0.81049022262736137</v>
      </c>
      <c r="O11" s="67">
        <v>1</v>
      </c>
      <c r="P11" s="68">
        <f>O11*100000/'[1]жами-2026'!C12</f>
        <v>4.7675895448668314E-2</v>
      </c>
      <c r="Q11" s="67">
        <v>14</v>
      </c>
      <c r="R11" s="68">
        <f>Q11*100000/'[1]жами-2026'!C12</f>
        <v>0.66746253628135643</v>
      </c>
      <c r="S11" s="67">
        <v>6</v>
      </c>
      <c r="T11" s="68">
        <f>S11*100000/'[1]жами-2026'!C12</f>
        <v>0.28605537269200992</v>
      </c>
      <c r="U11" s="67">
        <v>100</v>
      </c>
      <c r="V11" s="68">
        <f>U11*100000/'[1]жами-2026'!C12</f>
        <v>4.7675895448668317</v>
      </c>
      <c r="W11" s="67">
        <v>231</v>
      </c>
      <c r="X11" s="68">
        <f>W11*100000/'[1]жами-2026'!C12</f>
        <v>11.013131848642381</v>
      </c>
      <c r="Y11" s="67">
        <v>2</v>
      </c>
      <c r="Z11" s="68">
        <f>Y11*100000/'[1]жами-2026'!C12</f>
        <v>9.5351790897336627E-2</v>
      </c>
      <c r="AA11" s="67">
        <v>77</v>
      </c>
      <c r="AB11" s="70">
        <f>AA11*100000/'[1]жами-2026'!C12</f>
        <v>3.6710439495474603</v>
      </c>
    </row>
    <row r="12" spans="1:28" ht="24" customHeight="1" x14ac:dyDescent="0.25">
      <c r="A12" s="76">
        <v>7</v>
      </c>
      <c r="B12" s="77" t="s">
        <v>25</v>
      </c>
      <c r="C12" s="49">
        <v>498</v>
      </c>
      <c r="D12" s="123">
        <f>C12*100000/'[1]жами-2026'!C13</f>
        <v>45.133429098373654</v>
      </c>
      <c r="E12" s="52">
        <v>6</v>
      </c>
      <c r="F12" s="123">
        <f>E12*100000/'[1]жами-2026'!C13</f>
        <v>0.54377625419727293</v>
      </c>
      <c r="G12" s="52">
        <v>14</v>
      </c>
      <c r="H12" s="123">
        <f>G12*100000/'[1]жами-2026'!C13</f>
        <v>1.268811259793637</v>
      </c>
      <c r="I12" s="52">
        <v>21</v>
      </c>
      <c r="J12" s="123">
        <f>I12*100000/'[1]жами-2026'!C13</f>
        <v>1.9032168896904553</v>
      </c>
      <c r="K12" s="52">
        <v>21</v>
      </c>
      <c r="L12" s="123">
        <f>K12*100000/'[1]жами-2026'!C13</f>
        <v>1.9032168896904553</v>
      </c>
      <c r="M12" s="52">
        <v>16</v>
      </c>
      <c r="N12" s="123">
        <f>M12*100000/'[1]жами-2026'!C13</f>
        <v>1.4500700111927278</v>
      </c>
      <c r="O12" s="52">
        <v>1</v>
      </c>
      <c r="P12" s="123">
        <f>O12*100000/'[1]жами-2026'!C13</f>
        <v>9.0629375699545489E-2</v>
      </c>
      <c r="Q12" s="52">
        <v>9</v>
      </c>
      <c r="R12" s="123">
        <f>Q12*100000/'[1]жами-2026'!C13</f>
        <v>0.81566438129590946</v>
      </c>
      <c r="S12" s="52">
        <v>2</v>
      </c>
      <c r="T12" s="123">
        <f>S12*100000/'[1]жами-2026'!C13</f>
        <v>0.18125875139909098</v>
      </c>
      <c r="U12" s="52">
        <v>72</v>
      </c>
      <c r="V12" s="123">
        <f>U12*100000/'[1]жами-2026'!C13</f>
        <v>6.5253150503672757</v>
      </c>
      <c r="W12" s="52">
        <v>156</v>
      </c>
      <c r="X12" s="123">
        <f>W12*100000/'[1]жами-2026'!C13</f>
        <v>14.138182609129098</v>
      </c>
      <c r="Y12" s="52">
        <v>5</v>
      </c>
      <c r="Z12" s="123">
        <f>Y12*100000/'[1]жами-2026'!C13</f>
        <v>0.45314687849772745</v>
      </c>
      <c r="AA12" s="52">
        <v>23</v>
      </c>
      <c r="AB12" s="124">
        <f>AA12*100000/'[1]жами-2026'!C13</f>
        <v>2.0844756410895462</v>
      </c>
    </row>
    <row r="13" spans="1:28" ht="24" customHeight="1" x14ac:dyDescent="0.25">
      <c r="A13" s="62">
        <v>8</v>
      </c>
      <c r="B13" s="63" t="s">
        <v>26</v>
      </c>
      <c r="C13" s="122">
        <v>1720</v>
      </c>
      <c r="D13" s="68">
        <f>C13*100000/'[1]жами-2026'!C14</f>
        <v>40.866939857407644</v>
      </c>
      <c r="E13" s="67">
        <v>21</v>
      </c>
      <c r="F13" s="68">
        <f>E13*100000/'[1]жами-2026'!C14</f>
        <v>0.49895682384044215</v>
      </c>
      <c r="G13" s="67">
        <v>50</v>
      </c>
      <c r="H13" s="68">
        <f>G13*100000/'[1]жами-2026'!C14</f>
        <v>1.1879924377153386</v>
      </c>
      <c r="I13" s="67">
        <v>133</v>
      </c>
      <c r="J13" s="68">
        <f>I13*100000/'[1]жами-2026'!C14</f>
        <v>3.1600598843228003</v>
      </c>
      <c r="K13" s="67">
        <v>110</v>
      </c>
      <c r="L13" s="68">
        <f>K13*100000/'[1]жами-2026'!C14</f>
        <v>2.6135833629737446</v>
      </c>
      <c r="M13" s="67">
        <v>36</v>
      </c>
      <c r="N13" s="68">
        <f>M13*100000/'[1]жами-2026'!C14</f>
        <v>0.85535455515504366</v>
      </c>
      <c r="O13" s="67">
        <v>7</v>
      </c>
      <c r="P13" s="68">
        <f>O13*100000/'[1]жами-2026'!C14</f>
        <v>0.16631894128014738</v>
      </c>
      <c r="Q13" s="67">
        <v>44</v>
      </c>
      <c r="R13" s="68">
        <f>Q13*100000/'[1]жами-2026'!C14</f>
        <v>1.0454333451894979</v>
      </c>
      <c r="S13" s="67">
        <v>26</v>
      </c>
      <c r="T13" s="68">
        <f>S13*100000/'[1]жами-2026'!C14</f>
        <v>0.61775606761197599</v>
      </c>
      <c r="U13" s="67">
        <v>327</v>
      </c>
      <c r="V13" s="68">
        <f>U13*100000/'[1]жами-2026'!C14</f>
        <v>7.7694705426583139</v>
      </c>
      <c r="W13" s="67">
        <v>518</v>
      </c>
      <c r="X13" s="68">
        <f>W13*100000/'[1]жами-2026'!C14</f>
        <v>12.307601654730906</v>
      </c>
      <c r="Y13" s="67">
        <v>18</v>
      </c>
      <c r="Z13" s="68">
        <f>Y13*100000/'[1]жами-2026'!C14</f>
        <v>0.42767727757752183</v>
      </c>
      <c r="AA13" s="67">
        <v>51</v>
      </c>
      <c r="AB13" s="70">
        <f>AA13*100000/'[1]жами-2026'!C14</f>
        <v>1.2117522864696453</v>
      </c>
    </row>
    <row r="14" spans="1:28" ht="24" customHeight="1" x14ac:dyDescent="0.25">
      <c r="A14" s="76">
        <v>9</v>
      </c>
      <c r="B14" s="77" t="s">
        <v>27</v>
      </c>
      <c r="C14" s="49">
        <v>1023</v>
      </c>
      <c r="D14" s="123">
        <f>C14*100000/'[1]жами-2026'!C15</f>
        <v>29.128394717937198</v>
      </c>
      <c r="E14" s="52">
        <v>14</v>
      </c>
      <c r="F14" s="123">
        <f>E14*100000/'[1]жами-2026'!C15</f>
        <v>0.39862905772348073</v>
      </c>
      <c r="G14" s="52">
        <v>46</v>
      </c>
      <c r="H14" s="123">
        <f>G14*100000/'[1]жами-2026'!C15</f>
        <v>1.3097811896628653</v>
      </c>
      <c r="I14" s="52">
        <v>61</v>
      </c>
      <c r="J14" s="123">
        <f>I14*100000/'[1]жами-2026'!C15</f>
        <v>1.7368837515094517</v>
      </c>
      <c r="K14" s="52">
        <v>87</v>
      </c>
      <c r="L14" s="123">
        <f>K14*100000/'[1]жами-2026'!C15</f>
        <v>2.4771948587102015</v>
      </c>
      <c r="M14" s="52">
        <v>16</v>
      </c>
      <c r="N14" s="123">
        <f>M14*100000/'[1]жами-2026'!C15</f>
        <v>0.45557606596969225</v>
      </c>
      <c r="O14" s="52">
        <v>3</v>
      </c>
      <c r="P14" s="123">
        <f>O14*100000/'[1]жами-2026'!C15</f>
        <v>8.5420512369317289E-2</v>
      </c>
      <c r="Q14" s="52">
        <v>30</v>
      </c>
      <c r="R14" s="123">
        <f>Q14*100000/'[1]жами-2026'!C15</f>
        <v>0.85420512369317292</v>
      </c>
      <c r="S14" s="52">
        <v>18</v>
      </c>
      <c r="T14" s="123">
        <f>S14*100000/'[1]жами-2026'!C15</f>
        <v>0.51252307421590371</v>
      </c>
      <c r="U14" s="52">
        <v>138</v>
      </c>
      <c r="V14" s="123">
        <f>U14*100000/'[1]жами-2026'!C15</f>
        <v>3.9293435689885956</v>
      </c>
      <c r="W14" s="52">
        <v>329</v>
      </c>
      <c r="X14" s="123">
        <f>W14*100000/'[1]жами-2026'!C15</f>
        <v>9.3677828565017958</v>
      </c>
      <c r="Y14" s="52">
        <v>7</v>
      </c>
      <c r="Z14" s="123">
        <f>Y14*100000/'[1]жами-2026'!C15</f>
        <v>0.19931452886174036</v>
      </c>
      <c r="AA14" s="52">
        <v>32</v>
      </c>
      <c r="AB14" s="124">
        <f>AA14*100000/'[1]жами-2026'!C15</f>
        <v>0.91115213193938449</v>
      </c>
    </row>
    <row r="15" spans="1:28" ht="24" customHeight="1" x14ac:dyDescent="0.25">
      <c r="A15" s="62">
        <v>10</v>
      </c>
      <c r="B15" s="63" t="s">
        <v>28</v>
      </c>
      <c r="C15" s="122">
        <v>1181</v>
      </c>
      <c r="D15" s="68">
        <f>C15*100000/'[1]жами-2026'!C16</f>
        <v>37.150222476671011</v>
      </c>
      <c r="E15" s="67">
        <v>16</v>
      </c>
      <c r="F15" s="68">
        <f>E15*100000/'[1]жами-2026'!C16</f>
        <v>0.50330530027666065</v>
      </c>
      <c r="G15" s="67">
        <v>24</v>
      </c>
      <c r="H15" s="68">
        <f>G15*100000/'[1]жами-2026'!C16</f>
        <v>0.75495795041499092</v>
      </c>
      <c r="I15" s="67">
        <v>44</v>
      </c>
      <c r="J15" s="68">
        <f>I15*100000/'[1]жами-2026'!C16</f>
        <v>1.3840895757608167</v>
      </c>
      <c r="K15" s="67">
        <v>43</v>
      </c>
      <c r="L15" s="68">
        <f>K15*100000/'[1]жами-2026'!C16</f>
        <v>1.3526329944935254</v>
      </c>
      <c r="M15" s="67">
        <v>29</v>
      </c>
      <c r="N15" s="68">
        <f>M15*100000/'[1]жами-2026'!C16</f>
        <v>0.91224085675144739</v>
      </c>
      <c r="O15" s="67">
        <v>2</v>
      </c>
      <c r="P15" s="68">
        <f>O15*100000/'[1]жами-2026'!C16</f>
        <v>6.2913162534582581E-2</v>
      </c>
      <c r="Q15" s="67">
        <v>32</v>
      </c>
      <c r="R15" s="68">
        <f>Q15*100000/'[1]жами-2026'!C16</f>
        <v>1.0066106005533213</v>
      </c>
      <c r="S15" s="67">
        <v>12</v>
      </c>
      <c r="T15" s="68">
        <f>S15*100000/'[1]жами-2026'!C16</f>
        <v>0.37747897520749546</v>
      </c>
      <c r="U15" s="67">
        <v>161</v>
      </c>
      <c r="V15" s="68">
        <f>U15*100000/'[1]жами-2026'!C16</f>
        <v>5.0645095840338978</v>
      </c>
      <c r="W15" s="67">
        <v>426</v>
      </c>
      <c r="X15" s="68">
        <f>W15*100000/'[1]жами-2026'!C16</f>
        <v>13.40050361986609</v>
      </c>
      <c r="Y15" s="67">
        <v>6</v>
      </c>
      <c r="Z15" s="68">
        <f>Y15*100000/'[1]жами-2026'!C16</f>
        <v>0.18873948760374773</v>
      </c>
      <c r="AA15" s="67">
        <v>85</v>
      </c>
      <c r="AB15" s="70">
        <f>AA15*100000/'[1]жами-2026'!C16</f>
        <v>2.6738094077197596</v>
      </c>
    </row>
    <row r="16" spans="1:28" ht="24" customHeight="1" x14ac:dyDescent="0.25">
      <c r="A16" s="76">
        <v>11</v>
      </c>
      <c r="B16" s="77" t="s">
        <v>29</v>
      </c>
      <c r="C16" s="49">
        <v>627</v>
      </c>
      <c r="D16" s="123">
        <f>C16*100000/'[1]жами-2026'!C17</f>
        <v>20.953473263769141</v>
      </c>
      <c r="E16" s="52">
        <v>10</v>
      </c>
      <c r="F16" s="123">
        <f>E16*100000/'[1]жами-2026'!C17</f>
        <v>0.33418617645564813</v>
      </c>
      <c r="G16" s="52">
        <v>17</v>
      </c>
      <c r="H16" s="123">
        <f>G16*100000/'[1]жами-2026'!C17</f>
        <v>0.5681164999746019</v>
      </c>
      <c r="I16" s="52">
        <v>21</v>
      </c>
      <c r="J16" s="123">
        <f>I16*100000/'[1]жами-2026'!C17</f>
        <v>0.70179097055686113</v>
      </c>
      <c r="K16" s="52">
        <v>15</v>
      </c>
      <c r="L16" s="123">
        <f>K16*100000/'[1]жами-2026'!C17</f>
        <v>0.50127926468347217</v>
      </c>
      <c r="M16" s="52">
        <v>10</v>
      </c>
      <c r="N16" s="123">
        <f>M16*100000/'[1]жами-2026'!C17</f>
        <v>0.33418617645564813</v>
      </c>
      <c r="O16" s="52">
        <v>2</v>
      </c>
      <c r="P16" s="123">
        <f>O16*100000/'[1]жами-2026'!C17</f>
        <v>6.6837235291129629E-2</v>
      </c>
      <c r="Q16" s="52">
        <v>12</v>
      </c>
      <c r="R16" s="123">
        <f>Q16*100000/'[1]жами-2026'!C17</f>
        <v>0.4010234117467778</v>
      </c>
      <c r="S16" s="52">
        <v>4</v>
      </c>
      <c r="T16" s="123">
        <f>S16*100000/'[1]жами-2026'!C17</f>
        <v>0.13367447058225926</v>
      </c>
      <c r="U16" s="52">
        <v>55</v>
      </c>
      <c r="V16" s="123">
        <f>U16*100000/'[1]жами-2026'!C17</f>
        <v>1.8380239705060648</v>
      </c>
      <c r="W16" s="52">
        <v>182</v>
      </c>
      <c r="X16" s="123">
        <f>W16*100000/'[1]жами-2026'!C17</f>
        <v>6.0821884114927967</v>
      </c>
      <c r="Y16" s="52">
        <v>6</v>
      </c>
      <c r="Z16" s="123">
        <f>Y16*100000/'[1]жами-2026'!C17</f>
        <v>0.2005117058733889</v>
      </c>
      <c r="AA16" s="52">
        <v>94</v>
      </c>
      <c r="AB16" s="124">
        <f>AA16*100000/'[1]жами-2026'!C17</f>
        <v>3.1413500586830927</v>
      </c>
    </row>
    <row r="17" spans="1:28" ht="24" customHeight="1" x14ac:dyDescent="0.25">
      <c r="A17" s="79">
        <v>12</v>
      </c>
      <c r="B17" s="80" t="s">
        <v>30</v>
      </c>
      <c r="C17" s="122">
        <v>929</v>
      </c>
      <c r="D17" s="68">
        <f>C17*100000/'[1]жами-2026'!C18</f>
        <v>25.187960751246518</v>
      </c>
      <c r="E17" s="67">
        <v>11</v>
      </c>
      <c r="F17" s="68">
        <f>E17*100000/'[1]жами-2026'!C18</f>
        <v>0.29824280760356481</v>
      </c>
      <c r="G17" s="67">
        <v>35</v>
      </c>
      <c r="H17" s="68">
        <f>G17*100000/'[1]жами-2026'!C18</f>
        <v>0.94895438782952446</v>
      </c>
      <c r="I17" s="67">
        <v>61</v>
      </c>
      <c r="J17" s="68">
        <f>I17*100000/'[1]жами-2026'!C18</f>
        <v>1.653891933074314</v>
      </c>
      <c r="K17" s="67">
        <v>45</v>
      </c>
      <c r="L17" s="68">
        <f>K17*100000/'[1]жами-2026'!C18</f>
        <v>1.2200842129236742</v>
      </c>
      <c r="M17" s="67">
        <v>30</v>
      </c>
      <c r="N17" s="68">
        <f>M17*100000/'[1]жами-2026'!C18</f>
        <v>0.81338947528244954</v>
      </c>
      <c r="O17" s="67">
        <v>2</v>
      </c>
      <c r="P17" s="68">
        <f>O17*100000/'[1]жами-2026'!C18</f>
        <v>5.4225965018829966E-2</v>
      </c>
      <c r="Q17" s="67">
        <v>31</v>
      </c>
      <c r="R17" s="68">
        <f>Q17*100000/'[1]жами-2026'!C18</f>
        <v>0.8405024577918645</v>
      </c>
      <c r="S17" s="67">
        <v>16</v>
      </c>
      <c r="T17" s="68">
        <f>S17*100000/'[1]жами-2026'!C18</f>
        <v>0.43380772015063973</v>
      </c>
      <c r="U17" s="67">
        <v>67</v>
      </c>
      <c r="V17" s="68">
        <f>U17*100000/'[1]жами-2026'!C18</f>
        <v>1.8165698281308038</v>
      </c>
      <c r="W17" s="67">
        <v>332</v>
      </c>
      <c r="X17" s="68">
        <f>W17*100000/'[1]жами-2026'!C18</f>
        <v>9.0015101931257746</v>
      </c>
      <c r="Y17" s="67">
        <v>5</v>
      </c>
      <c r="Z17" s="68">
        <f>Y17*100000/'[1]жами-2026'!C18</f>
        <v>0.13556491254707492</v>
      </c>
      <c r="AA17" s="67">
        <v>68</v>
      </c>
      <c r="AB17" s="70">
        <f>AA17*100000/'[1]жами-2026'!C18</f>
        <v>1.8436828106402188</v>
      </c>
    </row>
    <row r="18" spans="1:28" ht="24" customHeight="1" x14ac:dyDescent="0.25">
      <c r="A18" s="47">
        <v>13</v>
      </c>
      <c r="B18" s="48" t="s">
        <v>31</v>
      </c>
      <c r="C18" s="49">
        <v>366</v>
      </c>
      <c r="D18" s="123">
        <f>C18*100000/'[1]жами-2026'!C19</f>
        <v>17.760170730559285</v>
      </c>
      <c r="E18" s="52">
        <v>4</v>
      </c>
      <c r="F18" s="123">
        <f>E18*100000/'[1]жами-2026'!C19</f>
        <v>0.19410022656348946</v>
      </c>
      <c r="G18" s="52">
        <v>12</v>
      </c>
      <c r="H18" s="123">
        <f>G18*100000/'[1]жами-2026'!C19</f>
        <v>0.58230067969046839</v>
      </c>
      <c r="I18" s="52">
        <v>6</v>
      </c>
      <c r="J18" s="123">
        <f>I18*100000/'[1]жами-2026'!C19</f>
        <v>0.2911503398452342</v>
      </c>
      <c r="K18" s="52">
        <v>15</v>
      </c>
      <c r="L18" s="123">
        <f>K18*100000/'[1]жами-2026'!C19</f>
        <v>0.72787584961308549</v>
      </c>
      <c r="M18" s="52">
        <v>11</v>
      </c>
      <c r="N18" s="123">
        <f>M18*100000/'[1]жами-2026'!C19</f>
        <v>0.53377562304959603</v>
      </c>
      <c r="O18" s="52">
        <v>1</v>
      </c>
      <c r="P18" s="123">
        <f>O18*100000/'[1]жами-2026'!C19</f>
        <v>4.8525056640872366E-2</v>
      </c>
      <c r="Q18" s="52">
        <v>9</v>
      </c>
      <c r="R18" s="123">
        <f>Q18*100000/'[1]жами-2026'!C19</f>
        <v>0.43672550976785129</v>
      </c>
      <c r="S18" s="52">
        <v>8</v>
      </c>
      <c r="T18" s="123">
        <f>S18*100000/'[1]жами-2026'!C19</f>
        <v>0.38820045312697893</v>
      </c>
      <c r="U18" s="52">
        <v>42</v>
      </c>
      <c r="V18" s="123">
        <f>U18*100000/'[1]жами-2026'!C19</f>
        <v>2.0380523789166394</v>
      </c>
      <c r="W18" s="52">
        <v>115</v>
      </c>
      <c r="X18" s="123">
        <f>W18*100000/'[1]жами-2026'!C19</f>
        <v>5.5803815137003214</v>
      </c>
      <c r="Y18" s="52"/>
      <c r="Z18" s="123">
        <f>Y18*100000/'[1]жами-2026'!C19</f>
        <v>0</v>
      </c>
      <c r="AA18" s="52">
        <v>17</v>
      </c>
      <c r="AB18" s="124">
        <f>AA18*100000/'[1]жами-2026'!C19</f>
        <v>0.82492596289483022</v>
      </c>
    </row>
    <row r="19" spans="1:28" ht="24" customHeight="1" x14ac:dyDescent="0.25">
      <c r="A19" s="62">
        <v>14</v>
      </c>
      <c r="B19" s="63" t="s">
        <v>32</v>
      </c>
      <c r="C19" s="122">
        <v>603</v>
      </c>
      <c r="D19" s="68">
        <f>C19*100000/'[1]жами-2026'!C20</f>
        <v>29.526199973166904</v>
      </c>
      <c r="E19" s="67">
        <v>7</v>
      </c>
      <c r="F19" s="68">
        <f>E19*100000/'[1]жами-2026'!C20</f>
        <v>0.34275854031868708</v>
      </c>
      <c r="G19" s="67">
        <v>9</v>
      </c>
      <c r="H19" s="68">
        <f>G19*100000/'[1]жами-2026'!C20</f>
        <v>0.44068955183831199</v>
      </c>
      <c r="I19" s="67">
        <v>30</v>
      </c>
      <c r="J19" s="68">
        <f>I19*100000/'[1]жами-2026'!C20</f>
        <v>1.4689651727943733</v>
      </c>
      <c r="K19" s="67">
        <v>31</v>
      </c>
      <c r="L19" s="68">
        <f>K19*100000/'[1]жами-2026'!C20</f>
        <v>1.5179306785541857</v>
      </c>
      <c r="M19" s="67">
        <v>8</v>
      </c>
      <c r="N19" s="68">
        <f>M19*100000/'[1]жами-2026'!C20</f>
        <v>0.39172404607849953</v>
      </c>
      <c r="O19" s="67">
        <v>2</v>
      </c>
      <c r="P19" s="68">
        <f>O19*100000/'[1]жами-2026'!C20</f>
        <v>9.7931011519624883E-2</v>
      </c>
      <c r="Q19" s="67">
        <v>35</v>
      </c>
      <c r="R19" s="68">
        <f>Q19*100000/'[1]жами-2026'!C20</f>
        <v>1.7137927015934356</v>
      </c>
      <c r="S19" s="67">
        <v>4</v>
      </c>
      <c r="T19" s="68">
        <f>S19*100000/'[1]жами-2026'!C20</f>
        <v>0.19586202303924977</v>
      </c>
      <c r="U19" s="67">
        <v>51</v>
      </c>
      <c r="V19" s="68">
        <f>U19*100000/'[1]жами-2026'!C20</f>
        <v>2.4972407937504344</v>
      </c>
      <c r="W19" s="67">
        <v>235</v>
      </c>
      <c r="X19" s="68">
        <f>W19*100000/'[1]жами-2026'!C20</f>
        <v>11.506893853555924</v>
      </c>
      <c r="Y19" s="67">
        <v>4</v>
      </c>
      <c r="Z19" s="68">
        <f>Y19*100000/'[1]жами-2026'!C20</f>
        <v>0.19586202303924977</v>
      </c>
      <c r="AA19" s="67">
        <v>35</v>
      </c>
      <c r="AB19" s="70">
        <f>AA19*100000/'[1]жами-2026'!C20</f>
        <v>1.7137927015934356</v>
      </c>
    </row>
    <row r="20" spans="1:28" ht="24" customHeight="1" thickBot="1" x14ac:dyDescent="0.3">
      <c r="A20" s="74">
        <v>15</v>
      </c>
      <c r="B20" s="75" t="s">
        <v>33</v>
      </c>
      <c r="C20" s="49">
        <v>59</v>
      </c>
      <c r="D20" s="123"/>
      <c r="E20" s="52"/>
      <c r="F20" s="123"/>
      <c r="G20" s="52"/>
      <c r="H20" s="123"/>
      <c r="I20" s="52"/>
      <c r="J20" s="123"/>
      <c r="K20" s="52">
        <v>1</v>
      </c>
      <c r="L20" s="123"/>
      <c r="M20" s="52">
        <v>1</v>
      </c>
      <c r="N20" s="123"/>
      <c r="O20" s="52"/>
      <c r="P20" s="123"/>
      <c r="Q20" s="52"/>
      <c r="R20" s="123"/>
      <c r="S20" s="52">
        <v>1</v>
      </c>
      <c r="T20" s="123"/>
      <c r="U20" s="52">
        <v>20</v>
      </c>
      <c r="V20" s="123"/>
      <c r="W20" s="52">
        <v>15</v>
      </c>
      <c r="X20" s="123"/>
      <c r="Y20" s="52"/>
      <c r="Z20" s="123"/>
      <c r="AA20" s="52">
        <v>13</v>
      </c>
      <c r="AB20" s="124"/>
    </row>
    <row r="21" spans="1:28" ht="24" customHeight="1" thickBot="1" x14ac:dyDescent="0.3">
      <c r="A21" s="88" t="s">
        <v>35</v>
      </c>
      <c r="B21" s="89"/>
      <c r="C21" s="125">
        <f>SUM(C6:C20)</f>
        <v>14342</v>
      </c>
      <c r="D21" s="94">
        <f>C21*100000/'[1]жами-2026'!C22</f>
        <v>37.508463072549347</v>
      </c>
      <c r="E21" s="126">
        <f>SUM(E6:E20)</f>
        <v>163</v>
      </c>
      <c r="F21" s="94">
        <f>E21*100000/'[1]жами-2026'!C22</f>
        <v>0.42629197328305285</v>
      </c>
      <c r="G21" s="126">
        <f>SUM(G6:G20)</f>
        <v>359</v>
      </c>
      <c r="H21" s="94">
        <f>G21*100000/'[1]жами-2026'!C22</f>
        <v>0.93888845649457653</v>
      </c>
      <c r="I21" s="126">
        <f>SUM(I6:I20)</f>
        <v>696</v>
      </c>
      <c r="J21" s="94">
        <f>I21*100000/'[1]жами-2026'!C22</f>
        <v>1.8202405730368392</v>
      </c>
      <c r="K21" s="126">
        <f>SUM(K6:K20)</f>
        <v>709</v>
      </c>
      <c r="L21" s="94">
        <f>K21*100000/'[1]жами-2026'!C22</f>
        <v>1.8542393193722975</v>
      </c>
      <c r="M21" s="126">
        <f>SUM(M6:M20)</f>
        <v>279</v>
      </c>
      <c r="N21" s="94">
        <f>M21*100000/'[1]жами-2026'!C22</f>
        <v>0.72966540212252606</v>
      </c>
      <c r="O21" s="126">
        <f>SUM(O6:O20)</f>
        <v>53</v>
      </c>
      <c r="P21" s="94">
        <f>O21*100000/'[1]жами-2026'!C22</f>
        <v>0.13861027352148345</v>
      </c>
      <c r="Q21" s="126">
        <f>SUM(Q6:Q20)</f>
        <v>390</v>
      </c>
      <c r="R21" s="94">
        <f>Q21*100000/'[1]жами-2026'!C22</f>
        <v>1.019962390063746</v>
      </c>
      <c r="S21" s="126">
        <f>SUM(S6:S20)</f>
        <v>194</v>
      </c>
      <c r="T21" s="94">
        <f>S21*100000/'[1]жами-2026'!C22</f>
        <v>0.50736590685222238</v>
      </c>
      <c r="U21" s="126">
        <f>SUM(U6:U20)</f>
        <v>2023</v>
      </c>
      <c r="V21" s="94">
        <f>U21*100000/'[1]жами-2026'!C22</f>
        <v>5.2907279874332263</v>
      </c>
      <c r="W21" s="126">
        <f>SUM(W6:W20)</f>
        <v>4745</v>
      </c>
      <c r="X21" s="94">
        <f>W21*100000/'[1]жами-2026'!C22</f>
        <v>12.409542412442244</v>
      </c>
      <c r="Y21" s="126">
        <f>SUM(Y6:Y20)</f>
        <v>96</v>
      </c>
      <c r="Z21" s="94">
        <f>Y21*100000/'[1]жами-2026'!C22</f>
        <v>0.25106766524646057</v>
      </c>
      <c r="AA21" s="126">
        <f>SUM(AA6:AA20)</f>
        <v>891</v>
      </c>
      <c r="AB21" s="127">
        <f>AA21*100000/'[1]жами-2026'!C22</f>
        <v>2.3302217680687121</v>
      </c>
    </row>
    <row r="22" spans="1:28" ht="14.25" customHeight="1" x14ac:dyDescent="0.25">
      <c r="A22" s="128"/>
      <c r="B22" s="128"/>
      <c r="C22" s="129"/>
      <c r="D22" s="130"/>
      <c r="E22" s="129"/>
      <c r="F22" s="130"/>
      <c r="G22" s="129"/>
      <c r="H22" s="130"/>
      <c r="I22" s="129"/>
      <c r="J22" s="130"/>
      <c r="K22" s="129"/>
      <c r="L22" s="130"/>
      <c r="M22" s="129"/>
      <c r="N22" s="130"/>
      <c r="O22" s="129"/>
      <c r="P22" s="130"/>
      <c r="Q22" s="129"/>
      <c r="R22" s="130"/>
      <c r="S22" s="129"/>
      <c r="T22" s="130"/>
      <c r="U22" s="129"/>
      <c r="V22" s="130"/>
      <c r="W22" s="129"/>
      <c r="X22" s="130"/>
      <c r="Y22" s="129"/>
      <c r="Z22" s="130"/>
      <c r="AA22" s="129"/>
      <c r="AB22" s="130"/>
    </row>
    <row r="23" spans="1:28" s="132" customFormat="1" ht="11.25" x14ac:dyDescent="0.2">
      <c r="A23" s="131"/>
    </row>
  </sheetData>
  <protectedRanges>
    <protectedRange sqref="B6:B20" name="Диапазон1_1" securityDescriptor="O:WDG:WDD:(A;;CC;;;WD)"/>
  </protectedRanges>
  <mergeCells count="21">
    <mergeCell ref="U4:V4"/>
    <mergeCell ref="W4:X4"/>
    <mergeCell ref="Y4:Z4"/>
    <mergeCell ref="AA4:AB4"/>
    <mergeCell ref="A21:B21"/>
    <mergeCell ref="I4:J4"/>
    <mergeCell ref="K4:L4"/>
    <mergeCell ref="M4:N4"/>
    <mergeCell ref="O4:P4"/>
    <mergeCell ref="Q4:R4"/>
    <mergeCell ref="S4:T4"/>
    <mergeCell ref="A1:AB1"/>
    <mergeCell ref="A2:AB2"/>
    <mergeCell ref="A3:E3"/>
    <mergeCell ref="Z3:AB3"/>
    <mergeCell ref="A4:A5"/>
    <mergeCell ref="B4:B5"/>
    <mergeCell ref="C4:C5"/>
    <mergeCell ref="D4:D5"/>
    <mergeCell ref="E4:F4"/>
    <mergeCell ref="G4:H4"/>
  </mergeCells>
  <conditionalFormatting sqref="A23:XFD23">
    <cfRule type="containsText" dxfId="26" priority="4" operator="containsText" text="ложь">
      <formula>NOT(ISERROR(SEARCH("ложь",A23)))</formula>
    </cfRule>
  </conditionalFormatting>
  <conditionalFormatting sqref="A24:XFD24">
    <cfRule type="containsText" dxfId="25" priority="5" operator="containsText" text="лож">
      <formula>NOT(ISERROR(SEARCH("лож",A24)))</formula>
    </cfRule>
  </conditionalFormatting>
  <conditionalFormatting sqref="C23:AB23 A24:XFD24">
    <cfRule type="containsText" dxfId="24" priority="6" operator="containsText" text="ЛОЖ">
      <formula>NOT(ISERROR(SEARCH("ЛОЖ",A23)))</formula>
    </cfRule>
  </conditionalFormatting>
  <conditionalFormatting sqref="D6:D22">
    <cfRule type="cellIs" dxfId="23" priority="2" stopIfTrue="1" operator="greaterThan">
      <formula>D$21</formula>
    </cfRule>
  </conditionalFormatting>
  <conditionalFormatting sqref="F6:F22 H6:H22 J6:J22 N6:N22 P6:P22 R6:R22 T6:T22 V6:V22 X6:X22 Z6:Z22 AB6:AB22">
    <cfRule type="cellIs" dxfId="22" priority="3" stopIfTrue="1" operator="greaterThan">
      <formula>F$21</formula>
    </cfRule>
  </conditionalFormatting>
  <conditionalFormatting sqref="L6:L22">
    <cfRule type="cellIs" dxfId="21" priority="1" stopIfTrue="1" operator="greaterThan">
      <formula>L$21</formula>
    </cfRule>
  </conditionalFormatting>
  <pageMargins left="0.39370078740157483" right="0.19685039370078741" top="0.59055118110236227" bottom="0.39370078740157483" header="0.31496062992125984" footer="0.31496062992125984"/>
  <pageSetup paperSize="9" scale="8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B102-1204-4892-8E7D-ABB7084C1EB9}">
  <dimension ref="A1:AE25"/>
  <sheetViews>
    <sheetView showZeros="0" zoomScaleNormal="100" zoomScaleSheetLayoutView="70" workbookViewId="0">
      <selection activeCell="M14" sqref="M14"/>
    </sheetView>
  </sheetViews>
  <sheetFormatPr defaultColWidth="9.140625" defaultRowHeight="15" x14ac:dyDescent="0.25"/>
  <cols>
    <col min="1" max="1" width="3.42578125" style="3" bestFit="1" customWidth="1"/>
    <col min="2" max="2" width="10.140625" style="3" customWidth="1"/>
    <col min="3" max="3" width="9.5703125" style="3" customWidth="1"/>
    <col min="4" max="4" width="7.140625" style="3" customWidth="1"/>
    <col min="5" max="5" width="6.5703125" style="3" bestFit="1" customWidth="1"/>
    <col min="6" max="6" width="6.140625" style="3" customWidth="1"/>
    <col min="7" max="7" width="4.85546875" style="3" bestFit="1" customWidth="1"/>
    <col min="8" max="8" width="6.85546875" style="3" bestFit="1" customWidth="1"/>
    <col min="9" max="9" width="4.85546875" style="3" bestFit="1" customWidth="1"/>
    <col min="10" max="10" width="5.85546875" style="3" bestFit="1" customWidth="1"/>
    <col min="11" max="11" width="4.85546875" style="3" bestFit="1" customWidth="1"/>
    <col min="12" max="12" width="6.42578125" style="3" bestFit="1" customWidth="1"/>
    <col min="13" max="13" width="6.5703125" style="3" bestFit="1" customWidth="1"/>
    <col min="14" max="14" width="5.85546875" style="3" bestFit="1" customWidth="1"/>
    <col min="15" max="15" width="4.85546875" style="3" bestFit="1" customWidth="1"/>
    <col min="16" max="16" width="5.85546875" style="3" bestFit="1" customWidth="1"/>
    <col min="17" max="17" width="4.85546875" style="3" bestFit="1" customWidth="1"/>
    <col min="18" max="18" width="5.140625" style="3" customWidth="1"/>
    <col min="19" max="19" width="3.85546875" style="3" bestFit="1" customWidth="1"/>
    <col min="20" max="20" width="6.42578125" style="3" bestFit="1" customWidth="1"/>
    <col min="21" max="21" width="6.5703125" style="3" bestFit="1" customWidth="1"/>
    <col min="22" max="22" width="6.140625" style="3" customWidth="1"/>
    <col min="23" max="23" width="4.85546875" style="3" bestFit="1" customWidth="1"/>
    <col min="24" max="24" width="5.85546875" style="3" bestFit="1" customWidth="1"/>
    <col min="25" max="25" width="4.85546875" style="3" bestFit="1" customWidth="1"/>
    <col min="26" max="26" width="5.85546875" style="3" bestFit="1" customWidth="1"/>
    <col min="27" max="27" width="4.85546875" style="3" bestFit="1" customWidth="1"/>
    <col min="28" max="28" width="11" style="3" customWidth="1"/>
    <col min="29" max="29" width="9.140625" style="3"/>
    <col min="30" max="30" width="10" style="3" bestFit="1" customWidth="1"/>
    <col min="31" max="31" width="9.140625" style="3"/>
    <col min="32" max="32" width="10" style="3" bestFit="1" customWidth="1"/>
    <col min="33" max="16384" width="9.140625" style="3"/>
  </cols>
  <sheetData>
    <row r="1" spans="1:31" ht="18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31" ht="18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ht="15.75" customHeight="1" thickBot="1" x14ac:dyDescent="0.3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 t="s">
        <v>2</v>
      </c>
      <c r="AB3" s="6"/>
    </row>
    <row r="4" spans="1:31" ht="25.5" customHeight="1" x14ac:dyDescent="0.25">
      <c r="A4" s="7" t="s">
        <v>3</v>
      </c>
      <c r="B4" s="8" t="s">
        <v>4</v>
      </c>
      <c r="C4" s="9" t="s">
        <v>5</v>
      </c>
      <c r="D4" s="10" t="s">
        <v>6</v>
      </c>
      <c r="E4" s="11"/>
      <c r="F4" s="11"/>
      <c r="G4" s="11"/>
      <c r="H4" s="11"/>
      <c r="I4" s="11"/>
      <c r="J4" s="11"/>
      <c r="K4" s="12"/>
      <c r="L4" s="13" t="s">
        <v>7</v>
      </c>
      <c r="M4" s="14"/>
      <c r="N4" s="14"/>
      <c r="O4" s="14"/>
      <c r="P4" s="14"/>
      <c r="Q4" s="14"/>
      <c r="R4" s="14"/>
      <c r="S4" s="15"/>
      <c r="T4" s="16" t="s">
        <v>8</v>
      </c>
      <c r="U4" s="17"/>
      <c r="V4" s="17"/>
      <c r="W4" s="17"/>
      <c r="X4" s="17"/>
      <c r="Y4" s="17"/>
      <c r="Z4" s="17"/>
      <c r="AA4" s="18"/>
      <c r="AB4" s="19" t="s">
        <v>9</v>
      </c>
    </row>
    <row r="5" spans="1:31" ht="24.75" customHeight="1" x14ac:dyDescent="0.25">
      <c r="A5" s="20"/>
      <c r="B5" s="21"/>
      <c r="C5" s="22"/>
      <c r="D5" s="23" t="s">
        <v>10</v>
      </c>
      <c r="E5" s="24" t="s">
        <v>11</v>
      </c>
      <c r="F5" s="24" t="s">
        <v>12</v>
      </c>
      <c r="G5" s="24"/>
      <c r="H5" s="24" t="s">
        <v>13</v>
      </c>
      <c r="I5" s="24"/>
      <c r="J5" s="24" t="s">
        <v>14</v>
      </c>
      <c r="K5" s="24"/>
      <c r="L5" s="25" t="s">
        <v>10</v>
      </c>
      <c r="M5" s="24" t="s">
        <v>11</v>
      </c>
      <c r="N5" s="24" t="s">
        <v>12</v>
      </c>
      <c r="O5" s="24"/>
      <c r="P5" s="26" t="s">
        <v>13</v>
      </c>
      <c r="Q5" s="26"/>
      <c r="R5" s="26" t="s">
        <v>14</v>
      </c>
      <c r="S5" s="27"/>
      <c r="T5" s="28" t="s">
        <v>10</v>
      </c>
      <c r="U5" s="24" t="s">
        <v>11</v>
      </c>
      <c r="V5" s="24" t="s">
        <v>12</v>
      </c>
      <c r="W5" s="24"/>
      <c r="X5" s="26" t="s">
        <v>13</v>
      </c>
      <c r="Y5" s="26"/>
      <c r="Z5" s="26" t="s">
        <v>14</v>
      </c>
      <c r="AA5" s="29"/>
      <c r="AB5" s="30"/>
    </row>
    <row r="6" spans="1:31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40" t="s">
        <v>18</v>
      </c>
      <c r="T6" s="41"/>
      <c r="U6" s="42"/>
      <c r="V6" s="43" t="s">
        <v>15</v>
      </c>
      <c r="W6" s="44" t="s">
        <v>16</v>
      </c>
      <c r="X6" s="45" t="s">
        <v>15</v>
      </c>
      <c r="Y6" s="44" t="s">
        <v>18</v>
      </c>
      <c r="Z6" s="45" t="s">
        <v>15</v>
      </c>
      <c r="AA6" s="46" t="s">
        <v>18</v>
      </c>
      <c r="AB6" s="30"/>
    </row>
    <row r="7" spans="1:31" ht="21.95" customHeight="1" x14ac:dyDescent="0.25">
      <c r="A7" s="47">
        <v>1</v>
      </c>
      <c r="B7" s="48" t="s">
        <v>19</v>
      </c>
      <c r="C7" s="49">
        <v>3327964</v>
      </c>
      <c r="D7" s="50">
        <v>13359</v>
      </c>
      <c r="E7" s="51">
        <f t="shared" ref="E7:E22" si="0">D7*100000/C7</f>
        <v>401.41660186227978</v>
      </c>
      <c r="F7" s="52">
        <v>1311</v>
      </c>
      <c r="G7" s="53">
        <f t="shared" ref="G7:G22" si="1">F7*100/D7</f>
        <v>9.8136088030541213</v>
      </c>
      <c r="H7" s="52">
        <v>7868</v>
      </c>
      <c r="I7" s="53">
        <f t="shared" ref="I7:I22" si="2">H7*100/D7</f>
        <v>58.896623998802305</v>
      </c>
      <c r="J7" s="52">
        <v>1206</v>
      </c>
      <c r="K7" s="53">
        <f t="shared" ref="K7:K22" si="3">J7*100/D7</f>
        <v>9.027621827981136</v>
      </c>
      <c r="L7" s="50">
        <v>2650</v>
      </c>
      <c r="M7" s="51">
        <f t="shared" ref="M7:M20" si="4">L7*100000/C7</f>
        <v>79.628265209599618</v>
      </c>
      <c r="N7" s="52">
        <v>438</v>
      </c>
      <c r="O7" s="53">
        <f t="shared" ref="O7:O22" si="5">N7*100/L7</f>
        <v>16.528301886792452</v>
      </c>
      <c r="P7" s="52">
        <v>542</v>
      </c>
      <c r="Q7" s="53">
        <f t="shared" ref="Q7:Q22" si="6">P7*100/L7</f>
        <v>20.452830188679247</v>
      </c>
      <c r="R7" s="52">
        <v>90</v>
      </c>
      <c r="S7" s="54">
        <f t="shared" ref="S7:S22" si="7">R7*100/L7</f>
        <v>3.3962264150943398</v>
      </c>
      <c r="T7" s="55">
        <v>3720</v>
      </c>
      <c r="U7" s="56">
        <f>T7*100000/C7</f>
        <v>111.78005531309834</v>
      </c>
      <c r="V7" s="57">
        <v>779</v>
      </c>
      <c r="W7" s="58">
        <f t="shared" ref="W7:W22" si="8">V7*100/T7</f>
        <v>20.940860215053764</v>
      </c>
      <c r="X7" s="57">
        <v>599</v>
      </c>
      <c r="Y7" s="58">
        <f t="shared" ref="Y7:Y22" si="9">X7*100/T7</f>
        <v>16.102150537634408</v>
      </c>
      <c r="Z7" s="57">
        <v>1075</v>
      </c>
      <c r="AA7" s="59">
        <f t="shared" ref="AA7:AA22" si="10">Z7*100/T7</f>
        <v>28.897849462365592</v>
      </c>
      <c r="AB7" s="60">
        <f>D7-L7-T7</f>
        <v>6989</v>
      </c>
      <c r="AC7" s="61"/>
      <c r="AE7" s="61"/>
    </row>
    <row r="8" spans="1:31" ht="21.95" customHeight="1" x14ac:dyDescent="0.25">
      <c r="A8" s="62">
        <v>2</v>
      </c>
      <c r="B8" s="63" t="s">
        <v>20</v>
      </c>
      <c r="C8" s="64">
        <v>3166428</v>
      </c>
      <c r="D8" s="65">
        <v>7339</v>
      </c>
      <c r="E8" s="66">
        <f t="shared" si="0"/>
        <v>231.77536328001142</v>
      </c>
      <c r="F8" s="67">
        <v>1056</v>
      </c>
      <c r="G8" s="68">
        <f t="shared" si="1"/>
        <v>14.388881318980788</v>
      </c>
      <c r="H8" s="67">
        <v>4296</v>
      </c>
      <c r="I8" s="68">
        <f t="shared" si="2"/>
        <v>58.536585365853661</v>
      </c>
      <c r="J8" s="67">
        <v>372</v>
      </c>
      <c r="K8" s="68">
        <f t="shared" si="3"/>
        <v>5.0688104646409595</v>
      </c>
      <c r="L8" s="65">
        <v>1660</v>
      </c>
      <c r="M8" s="66">
        <f t="shared" si="4"/>
        <v>52.425003821340638</v>
      </c>
      <c r="N8" s="67">
        <v>520</v>
      </c>
      <c r="O8" s="68">
        <f t="shared" si="5"/>
        <v>31.325301204819276</v>
      </c>
      <c r="P8" s="67">
        <v>362</v>
      </c>
      <c r="Q8" s="68">
        <f t="shared" si="6"/>
        <v>21.807228915662652</v>
      </c>
      <c r="R8" s="67">
        <v>91</v>
      </c>
      <c r="S8" s="69">
        <f t="shared" si="7"/>
        <v>5.4819277108433733</v>
      </c>
      <c r="T8" s="65">
        <v>2068</v>
      </c>
      <c r="U8" s="66">
        <f t="shared" ref="U8:U22" si="11">T8*100000/C8</f>
        <v>65.310185483453282</v>
      </c>
      <c r="V8" s="67">
        <v>520</v>
      </c>
      <c r="W8" s="68">
        <f t="shared" si="8"/>
        <v>25.145067698259187</v>
      </c>
      <c r="X8" s="67">
        <v>380</v>
      </c>
      <c r="Y8" s="68">
        <f t="shared" si="9"/>
        <v>18.375241779497099</v>
      </c>
      <c r="Z8" s="67">
        <v>277</v>
      </c>
      <c r="AA8" s="70">
        <f t="shared" si="10"/>
        <v>13.394584139264991</v>
      </c>
      <c r="AB8" s="71">
        <f t="shared" ref="AB8:AB21" si="12">D8-L8-T8</f>
        <v>3611</v>
      </c>
      <c r="AC8" s="61"/>
      <c r="AE8" s="61"/>
    </row>
    <row r="9" spans="1:31" ht="21.95" customHeight="1" x14ac:dyDescent="0.25">
      <c r="A9" s="47">
        <v>3</v>
      </c>
      <c r="B9" s="48" t="s">
        <v>21</v>
      </c>
      <c r="C9" s="49">
        <v>4363787</v>
      </c>
      <c r="D9" s="50">
        <v>6987</v>
      </c>
      <c r="E9" s="51">
        <f t="shared" si="0"/>
        <v>160.1132227581227</v>
      </c>
      <c r="F9" s="52">
        <v>1077</v>
      </c>
      <c r="G9" s="53">
        <f t="shared" si="1"/>
        <v>15.414340918849291</v>
      </c>
      <c r="H9" s="52">
        <v>3937</v>
      </c>
      <c r="I9" s="53">
        <f t="shared" si="2"/>
        <v>56.347502504651494</v>
      </c>
      <c r="J9" s="52">
        <v>374</v>
      </c>
      <c r="K9" s="53">
        <f t="shared" si="3"/>
        <v>5.3527980535279802</v>
      </c>
      <c r="L9" s="50">
        <v>1695</v>
      </c>
      <c r="M9" s="51">
        <f t="shared" si="4"/>
        <v>38.84240912766824</v>
      </c>
      <c r="N9" s="52">
        <v>520</v>
      </c>
      <c r="O9" s="53">
        <f t="shared" si="5"/>
        <v>30.678466076696164</v>
      </c>
      <c r="P9" s="52">
        <v>300</v>
      </c>
      <c r="Q9" s="53">
        <f t="shared" si="6"/>
        <v>17.699115044247787</v>
      </c>
      <c r="R9" s="52">
        <v>62</v>
      </c>
      <c r="S9" s="54">
        <f t="shared" si="7"/>
        <v>3.6578171091445428</v>
      </c>
      <c r="T9" s="50">
        <v>1946</v>
      </c>
      <c r="U9" s="51">
        <f t="shared" si="11"/>
        <v>44.594293901145953</v>
      </c>
      <c r="V9" s="52">
        <v>543</v>
      </c>
      <c r="W9" s="53">
        <f t="shared" si="8"/>
        <v>27.903391572456322</v>
      </c>
      <c r="X9" s="52">
        <v>386</v>
      </c>
      <c r="Y9" s="53">
        <f t="shared" si="9"/>
        <v>19.835560123329909</v>
      </c>
      <c r="Z9" s="52">
        <v>309</v>
      </c>
      <c r="AA9" s="72">
        <f t="shared" si="10"/>
        <v>15.878725590955806</v>
      </c>
      <c r="AB9" s="73">
        <f t="shared" si="12"/>
        <v>3346</v>
      </c>
      <c r="AC9" s="61"/>
      <c r="AE9" s="61"/>
    </row>
    <row r="10" spans="1:31" ht="21.95" customHeight="1" x14ac:dyDescent="0.25">
      <c r="A10" s="62">
        <v>4</v>
      </c>
      <c r="B10" s="63" t="s">
        <v>22</v>
      </c>
      <c r="C10" s="64">
        <v>939200</v>
      </c>
      <c r="D10" s="65">
        <v>2076</v>
      </c>
      <c r="E10" s="66">
        <f t="shared" si="0"/>
        <v>221.03918228279386</v>
      </c>
      <c r="F10" s="67">
        <v>287</v>
      </c>
      <c r="G10" s="68">
        <f t="shared" si="1"/>
        <v>13.824662813102119</v>
      </c>
      <c r="H10" s="67">
        <v>1302</v>
      </c>
      <c r="I10" s="68">
        <f t="shared" si="2"/>
        <v>62.716763005780344</v>
      </c>
      <c r="J10" s="67">
        <v>69</v>
      </c>
      <c r="K10" s="68">
        <f t="shared" si="3"/>
        <v>3.3236994219653178</v>
      </c>
      <c r="L10" s="65">
        <v>317</v>
      </c>
      <c r="M10" s="66">
        <f t="shared" si="4"/>
        <v>33.752129471890974</v>
      </c>
      <c r="N10" s="67">
        <v>115</v>
      </c>
      <c r="O10" s="68">
        <f t="shared" si="5"/>
        <v>36.277602523659304</v>
      </c>
      <c r="P10" s="67">
        <v>51</v>
      </c>
      <c r="Q10" s="68">
        <f t="shared" si="6"/>
        <v>16.088328075709779</v>
      </c>
      <c r="R10" s="67">
        <v>15</v>
      </c>
      <c r="S10" s="69">
        <f t="shared" si="7"/>
        <v>4.7318611987381702</v>
      </c>
      <c r="T10" s="65">
        <v>643</v>
      </c>
      <c r="U10" s="66">
        <f t="shared" si="11"/>
        <v>68.462521294718911</v>
      </c>
      <c r="V10" s="67">
        <v>166</v>
      </c>
      <c r="W10" s="68">
        <f t="shared" si="8"/>
        <v>25.816485225505442</v>
      </c>
      <c r="X10" s="67">
        <v>148</v>
      </c>
      <c r="Y10" s="68">
        <f t="shared" si="9"/>
        <v>23.017107309486782</v>
      </c>
      <c r="Z10" s="67">
        <v>54</v>
      </c>
      <c r="AA10" s="70">
        <f t="shared" si="10"/>
        <v>8.3981337480559883</v>
      </c>
      <c r="AB10" s="71">
        <f t="shared" si="12"/>
        <v>1116</v>
      </c>
      <c r="AC10" s="61"/>
      <c r="AE10" s="61"/>
    </row>
    <row r="11" spans="1:31" ht="21.95" customHeight="1" x14ac:dyDescent="0.25">
      <c r="A11" s="74">
        <v>5</v>
      </c>
      <c r="B11" s="75" t="s">
        <v>23</v>
      </c>
      <c r="C11" s="49">
        <v>1554972</v>
      </c>
      <c r="D11" s="50">
        <v>2443</v>
      </c>
      <c r="E11" s="51">
        <f t="shared" si="0"/>
        <v>157.10893829599505</v>
      </c>
      <c r="F11" s="52">
        <v>310</v>
      </c>
      <c r="G11" s="53">
        <f t="shared" si="1"/>
        <v>12.689316414244781</v>
      </c>
      <c r="H11" s="52">
        <v>1636</v>
      </c>
      <c r="I11" s="53">
        <f t="shared" si="2"/>
        <v>66.966844044207946</v>
      </c>
      <c r="J11" s="52">
        <v>63</v>
      </c>
      <c r="K11" s="53">
        <f t="shared" si="3"/>
        <v>2.5787965616045847</v>
      </c>
      <c r="L11" s="50">
        <v>360</v>
      </c>
      <c r="M11" s="51">
        <f t="shared" si="4"/>
        <v>23.151542278574791</v>
      </c>
      <c r="N11" s="52">
        <v>122</v>
      </c>
      <c r="O11" s="53">
        <f t="shared" si="5"/>
        <v>33.888888888888886</v>
      </c>
      <c r="P11" s="52">
        <v>66</v>
      </c>
      <c r="Q11" s="53">
        <f t="shared" si="6"/>
        <v>18.333333333333332</v>
      </c>
      <c r="R11" s="52">
        <v>14</v>
      </c>
      <c r="S11" s="54">
        <f t="shared" si="7"/>
        <v>3.8888888888888888</v>
      </c>
      <c r="T11" s="50">
        <v>679</v>
      </c>
      <c r="U11" s="51">
        <f t="shared" si="11"/>
        <v>43.666381130978564</v>
      </c>
      <c r="V11" s="52">
        <v>174</v>
      </c>
      <c r="W11" s="53">
        <f t="shared" si="8"/>
        <v>25.625920471281297</v>
      </c>
      <c r="X11" s="52">
        <v>214</v>
      </c>
      <c r="Y11" s="53">
        <f t="shared" si="9"/>
        <v>31.516936671575849</v>
      </c>
      <c r="Z11" s="52">
        <v>48</v>
      </c>
      <c r="AA11" s="72">
        <f t="shared" si="10"/>
        <v>7.0692194403534607</v>
      </c>
      <c r="AB11" s="73">
        <f t="shared" si="12"/>
        <v>1404</v>
      </c>
      <c r="AC11" s="61"/>
      <c r="AE11" s="61"/>
    </row>
    <row r="12" spans="1:31" ht="21.95" customHeight="1" x14ac:dyDescent="0.25">
      <c r="A12" s="62">
        <v>6</v>
      </c>
      <c r="B12" s="63" t="s">
        <v>24</v>
      </c>
      <c r="C12" s="64">
        <v>2097496</v>
      </c>
      <c r="D12" s="65">
        <v>4223</v>
      </c>
      <c r="E12" s="66">
        <f t="shared" si="0"/>
        <v>201.33530647972631</v>
      </c>
      <c r="F12" s="67">
        <v>659</v>
      </c>
      <c r="G12" s="68">
        <f t="shared" si="1"/>
        <v>15.605020127871182</v>
      </c>
      <c r="H12" s="67">
        <v>2666</v>
      </c>
      <c r="I12" s="68">
        <f t="shared" si="2"/>
        <v>63.130475964953824</v>
      </c>
      <c r="J12" s="67">
        <v>107</v>
      </c>
      <c r="K12" s="68">
        <f t="shared" si="3"/>
        <v>2.5337437840397823</v>
      </c>
      <c r="L12" s="65">
        <v>654</v>
      </c>
      <c r="M12" s="66">
        <f t="shared" si="4"/>
        <v>31.180035623429081</v>
      </c>
      <c r="N12" s="67">
        <v>208</v>
      </c>
      <c r="O12" s="68">
        <f t="shared" si="5"/>
        <v>31.804281345565748</v>
      </c>
      <c r="P12" s="67">
        <v>150</v>
      </c>
      <c r="Q12" s="68">
        <f t="shared" si="6"/>
        <v>22.935779816513762</v>
      </c>
      <c r="R12" s="67">
        <v>23</v>
      </c>
      <c r="S12" s="69">
        <f t="shared" si="7"/>
        <v>3.5168195718654434</v>
      </c>
      <c r="T12" s="65">
        <v>1272</v>
      </c>
      <c r="U12" s="66">
        <f t="shared" si="11"/>
        <v>60.643739010706099</v>
      </c>
      <c r="V12" s="67">
        <v>428</v>
      </c>
      <c r="W12" s="68">
        <f t="shared" si="8"/>
        <v>33.647798742138363</v>
      </c>
      <c r="X12" s="67">
        <v>285</v>
      </c>
      <c r="Y12" s="68">
        <f t="shared" si="9"/>
        <v>22.40566037735849</v>
      </c>
      <c r="Z12" s="67">
        <v>80</v>
      </c>
      <c r="AA12" s="70">
        <f t="shared" si="10"/>
        <v>6.2893081761006293</v>
      </c>
      <c r="AB12" s="71">
        <f t="shared" si="12"/>
        <v>2297</v>
      </c>
      <c r="AC12" s="61"/>
      <c r="AE12" s="61"/>
    </row>
    <row r="13" spans="1:31" ht="21.95" customHeight="1" x14ac:dyDescent="0.25">
      <c r="A13" s="76">
        <v>7</v>
      </c>
      <c r="B13" s="77" t="s">
        <v>25</v>
      </c>
      <c r="C13" s="78">
        <v>1103395</v>
      </c>
      <c r="D13" s="50">
        <v>2705</v>
      </c>
      <c r="E13" s="51">
        <f t="shared" si="0"/>
        <v>245.15246126727055</v>
      </c>
      <c r="F13" s="52">
        <v>497</v>
      </c>
      <c r="G13" s="53">
        <f t="shared" si="1"/>
        <v>18.373382624768947</v>
      </c>
      <c r="H13" s="52">
        <v>1577</v>
      </c>
      <c r="I13" s="53">
        <f t="shared" si="2"/>
        <v>58.299445471349351</v>
      </c>
      <c r="J13" s="52">
        <v>136</v>
      </c>
      <c r="K13" s="53">
        <f t="shared" si="3"/>
        <v>5.0277264325323472</v>
      </c>
      <c r="L13" s="50">
        <v>498</v>
      </c>
      <c r="M13" s="51">
        <f t="shared" si="4"/>
        <v>45.133429098373654</v>
      </c>
      <c r="N13" s="52">
        <v>164</v>
      </c>
      <c r="O13" s="53">
        <f t="shared" si="5"/>
        <v>32.931726907630519</v>
      </c>
      <c r="P13" s="52">
        <v>93</v>
      </c>
      <c r="Q13" s="53">
        <f t="shared" si="6"/>
        <v>18.674698795180724</v>
      </c>
      <c r="R13" s="52">
        <v>28</v>
      </c>
      <c r="S13" s="54">
        <f t="shared" si="7"/>
        <v>5.6224899598393572</v>
      </c>
      <c r="T13" s="50">
        <v>767</v>
      </c>
      <c r="U13" s="51">
        <f t="shared" si="11"/>
        <v>69.5127311615514</v>
      </c>
      <c r="V13" s="52">
        <v>292</v>
      </c>
      <c r="W13" s="53">
        <f t="shared" si="8"/>
        <v>38.070404172099089</v>
      </c>
      <c r="X13" s="52">
        <v>159</v>
      </c>
      <c r="Y13" s="53">
        <f t="shared" si="9"/>
        <v>20.730117340286832</v>
      </c>
      <c r="Z13" s="52">
        <v>50</v>
      </c>
      <c r="AA13" s="72">
        <f t="shared" si="10"/>
        <v>6.5189048239895699</v>
      </c>
      <c r="AB13" s="73">
        <f t="shared" si="12"/>
        <v>1440</v>
      </c>
      <c r="AC13" s="61"/>
      <c r="AE13" s="61"/>
    </row>
    <row r="14" spans="1:31" ht="21.95" customHeight="1" x14ac:dyDescent="0.25">
      <c r="A14" s="62">
        <v>8</v>
      </c>
      <c r="B14" s="63" t="s">
        <v>26</v>
      </c>
      <c r="C14" s="64">
        <v>4208781</v>
      </c>
      <c r="D14" s="65">
        <v>7352</v>
      </c>
      <c r="E14" s="66">
        <f t="shared" si="0"/>
        <v>174.68240804166336</v>
      </c>
      <c r="F14" s="67">
        <v>1219</v>
      </c>
      <c r="G14" s="68">
        <f t="shared" si="1"/>
        <v>16.580522306855279</v>
      </c>
      <c r="H14" s="67">
        <v>3947</v>
      </c>
      <c r="I14" s="68">
        <f t="shared" si="2"/>
        <v>53.686071817192598</v>
      </c>
      <c r="J14" s="67">
        <v>240</v>
      </c>
      <c r="K14" s="68">
        <f t="shared" si="3"/>
        <v>3.2644178454842221</v>
      </c>
      <c r="L14" s="65">
        <v>1720</v>
      </c>
      <c r="M14" s="66">
        <f t="shared" si="4"/>
        <v>40.866939857407644</v>
      </c>
      <c r="N14" s="67">
        <v>444</v>
      </c>
      <c r="O14" s="68">
        <f t="shared" si="5"/>
        <v>25.813953488372093</v>
      </c>
      <c r="P14" s="67">
        <v>488</v>
      </c>
      <c r="Q14" s="68">
        <f t="shared" si="6"/>
        <v>28.372093023255815</v>
      </c>
      <c r="R14" s="67">
        <v>65</v>
      </c>
      <c r="S14" s="69">
        <f t="shared" si="7"/>
        <v>3.7790697674418605</v>
      </c>
      <c r="T14" s="65">
        <v>2194</v>
      </c>
      <c r="U14" s="66">
        <f t="shared" si="11"/>
        <v>52.129108166949052</v>
      </c>
      <c r="V14" s="67">
        <v>517</v>
      </c>
      <c r="W14" s="68">
        <f t="shared" si="8"/>
        <v>23.56426618049225</v>
      </c>
      <c r="X14" s="67">
        <v>339</v>
      </c>
      <c r="Y14" s="68">
        <f t="shared" si="9"/>
        <v>15.451230628988149</v>
      </c>
      <c r="Z14" s="67">
        <v>170</v>
      </c>
      <c r="AA14" s="70">
        <f t="shared" si="10"/>
        <v>7.7484047402005469</v>
      </c>
      <c r="AB14" s="71">
        <f t="shared" si="12"/>
        <v>3438</v>
      </c>
      <c r="AC14" s="61"/>
      <c r="AE14" s="61"/>
    </row>
    <row r="15" spans="1:31" ht="21.95" customHeight="1" x14ac:dyDescent="0.25">
      <c r="A15" s="76">
        <v>9</v>
      </c>
      <c r="B15" s="77" t="s">
        <v>27</v>
      </c>
      <c r="C15" s="78">
        <v>3512037</v>
      </c>
      <c r="D15" s="50">
        <v>5546</v>
      </c>
      <c r="E15" s="51">
        <f t="shared" si="0"/>
        <v>157.91405386674458</v>
      </c>
      <c r="F15" s="52">
        <v>719</v>
      </c>
      <c r="G15" s="53">
        <f t="shared" si="1"/>
        <v>12.96429859358096</v>
      </c>
      <c r="H15" s="52">
        <v>3551</v>
      </c>
      <c r="I15" s="53">
        <f t="shared" si="2"/>
        <v>64.028128380815005</v>
      </c>
      <c r="J15" s="52">
        <v>218</v>
      </c>
      <c r="K15" s="53">
        <f t="shared" si="3"/>
        <v>3.9307609087630726</v>
      </c>
      <c r="L15" s="50">
        <v>1023</v>
      </c>
      <c r="M15" s="51">
        <f t="shared" si="4"/>
        <v>29.128394717937198</v>
      </c>
      <c r="N15" s="52">
        <v>323</v>
      </c>
      <c r="O15" s="53">
        <f t="shared" si="5"/>
        <v>31.573802541544477</v>
      </c>
      <c r="P15" s="52">
        <v>244</v>
      </c>
      <c r="Q15" s="53">
        <f t="shared" si="6"/>
        <v>23.851417399804497</v>
      </c>
      <c r="R15" s="52">
        <v>41</v>
      </c>
      <c r="S15" s="54">
        <f t="shared" si="7"/>
        <v>4.0078201368523949</v>
      </c>
      <c r="T15" s="50">
        <v>1531</v>
      </c>
      <c r="U15" s="51">
        <f t="shared" si="11"/>
        <v>43.592934812474923</v>
      </c>
      <c r="V15" s="52">
        <v>390</v>
      </c>
      <c r="W15" s="53">
        <f t="shared" si="8"/>
        <v>25.473546701502286</v>
      </c>
      <c r="X15" s="52">
        <v>358</v>
      </c>
      <c r="Y15" s="53">
        <f t="shared" si="9"/>
        <v>23.383409536250817</v>
      </c>
      <c r="Z15" s="52">
        <v>177</v>
      </c>
      <c r="AA15" s="72">
        <f t="shared" si="10"/>
        <v>11.561071195297192</v>
      </c>
      <c r="AB15" s="73">
        <f t="shared" si="12"/>
        <v>2992</v>
      </c>
      <c r="AC15" s="61"/>
      <c r="AE15" s="61"/>
    </row>
    <row r="16" spans="1:31" ht="21.95" customHeight="1" x14ac:dyDescent="0.25">
      <c r="A16" s="62">
        <v>10</v>
      </c>
      <c r="B16" s="63" t="s">
        <v>28</v>
      </c>
      <c r="C16" s="64">
        <v>3178985</v>
      </c>
      <c r="D16" s="65">
        <v>6376</v>
      </c>
      <c r="E16" s="66">
        <f t="shared" si="0"/>
        <v>200.56716216024927</v>
      </c>
      <c r="F16" s="67">
        <v>1532</v>
      </c>
      <c r="G16" s="68">
        <f t="shared" si="1"/>
        <v>24.027603513174405</v>
      </c>
      <c r="H16" s="67">
        <v>3393</v>
      </c>
      <c r="I16" s="68">
        <f t="shared" si="2"/>
        <v>53.215181932245919</v>
      </c>
      <c r="J16" s="67">
        <v>171</v>
      </c>
      <c r="K16" s="68">
        <f t="shared" si="3"/>
        <v>2.6819322459222081</v>
      </c>
      <c r="L16" s="65">
        <v>1181</v>
      </c>
      <c r="M16" s="66">
        <f t="shared" si="4"/>
        <v>37.150222476671011</v>
      </c>
      <c r="N16" s="67">
        <v>359</v>
      </c>
      <c r="O16" s="68">
        <f t="shared" si="5"/>
        <v>30.397967823878069</v>
      </c>
      <c r="P16" s="67">
        <v>251</v>
      </c>
      <c r="Q16" s="68">
        <f t="shared" si="6"/>
        <v>21.253175275190518</v>
      </c>
      <c r="R16" s="67">
        <v>56</v>
      </c>
      <c r="S16" s="69">
        <f t="shared" si="7"/>
        <v>4.7417442845046569</v>
      </c>
      <c r="T16" s="65">
        <v>1459</v>
      </c>
      <c r="U16" s="66">
        <f t="shared" si="11"/>
        <v>45.895152068977993</v>
      </c>
      <c r="V16" s="67">
        <v>357</v>
      </c>
      <c r="W16" s="68">
        <f t="shared" si="8"/>
        <v>24.468814256339957</v>
      </c>
      <c r="X16" s="67">
        <v>275</v>
      </c>
      <c r="Y16" s="68">
        <f t="shared" si="9"/>
        <v>18.848526387936943</v>
      </c>
      <c r="Z16" s="67">
        <v>115</v>
      </c>
      <c r="AA16" s="70">
        <f t="shared" si="10"/>
        <v>7.8821110349554493</v>
      </c>
      <c r="AB16" s="71">
        <f t="shared" si="12"/>
        <v>3736</v>
      </c>
      <c r="AC16" s="61"/>
      <c r="AE16" s="61"/>
    </row>
    <row r="17" spans="1:31" ht="21.95" customHeight="1" x14ac:dyDescent="0.25">
      <c r="A17" s="76">
        <v>11</v>
      </c>
      <c r="B17" s="77" t="s">
        <v>29</v>
      </c>
      <c r="C17" s="78">
        <v>2992344</v>
      </c>
      <c r="D17" s="50">
        <v>5234</v>
      </c>
      <c r="E17" s="51">
        <f t="shared" si="0"/>
        <v>174.91304475688625</v>
      </c>
      <c r="F17" s="52">
        <v>661</v>
      </c>
      <c r="G17" s="53">
        <f t="shared" si="1"/>
        <v>12.628964463125717</v>
      </c>
      <c r="H17" s="52">
        <v>3852</v>
      </c>
      <c r="I17" s="53">
        <f t="shared" si="2"/>
        <v>73.595720290408863</v>
      </c>
      <c r="J17" s="52">
        <v>179</v>
      </c>
      <c r="K17" s="53">
        <f t="shared" si="3"/>
        <v>3.4199465036301109</v>
      </c>
      <c r="L17" s="50">
        <v>627</v>
      </c>
      <c r="M17" s="51">
        <f t="shared" si="4"/>
        <v>20.953473263769141</v>
      </c>
      <c r="N17" s="52">
        <v>226</v>
      </c>
      <c r="O17" s="53">
        <f t="shared" si="5"/>
        <v>36.044657097288678</v>
      </c>
      <c r="P17" s="52">
        <v>132</v>
      </c>
      <c r="Q17" s="53">
        <f t="shared" si="6"/>
        <v>21.05263157894737</v>
      </c>
      <c r="R17" s="52">
        <v>26</v>
      </c>
      <c r="S17" s="54">
        <f t="shared" si="7"/>
        <v>4.1467304625199359</v>
      </c>
      <c r="T17" s="50">
        <v>897</v>
      </c>
      <c r="U17" s="51">
        <f t="shared" si="11"/>
        <v>29.976500028071637</v>
      </c>
      <c r="V17" s="52">
        <v>256</v>
      </c>
      <c r="W17" s="53">
        <f t="shared" si="8"/>
        <v>28.539576365663322</v>
      </c>
      <c r="X17" s="52">
        <v>211</v>
      </c>
      <c r="Y17" s="53">
        <f t="shared" si="9"/>
        <v>23.522853957636567</v>
      </c>
      <c r="Z17" s="52">
        <v>152</v>
      </c>
      <c r="AA17" s="72">
        <f t="shared" si="10"/>
        <v>16.945373467112599</v>
      </c>
      <c r="AB17" s="73">
        <f t="shared" si="12"/>
        <v>3710</v>
      </c>
      <c r="AC17" s="61"/>
      <c r="AE17" s="61"/>
    </row>
    <row r="18" spans="1:31" ht="21.95" customHeight="1" x14ac:dyDescent="0.25">
      <c r="A18" s="79">
        <v>12</v>
      </c>
      <c r="B18" s="80" t="s">
        <v>30</v>
      </c>
      <c r="C18" s="64">
        <v>3688270</v>
      </c>
      <c r="D18" s="65">
        <v>6350</v>
      </c>
      <c r="E18" s="66">
        <f t="shared" si="0"/>
        <v>172.16743893478514</v>
      </c>
      <c r="F18" s="67">
        <v>1014</v>
      </c>
      <c r="G18" s="68">
        <f t="shared" si="1"/>
        <v>15.968503937007874</v>
      </c>
      <c r="H18" s="67">
        <v>4369</v>
      </c>
      <c r="I18" s="68">
        <f t="shared" si="2"/>
        <v>68.803149606299215</v>
      </c>
      <c r="J18" s="67">
        <v>121</v>
      </c>
      <c r="K18" s="68">
        <f t="shared" si="3"/>
        <v>1.905511811023622</v>
      </c>
      <c r="L18" s="65">
        <v>929</v>
      </c>
      <c r="M18" s="66">
        <f t="shared" si="4"/>
        <v>25.187960751246518</v>
      </c>
      <c r="N18" s="67">
        <v>355</v>
      </c>
      <c r="O18" s="68">
        <f t="shared" si="5"/>
        <v>38.213132400430574</v>
      </c>
      <c r="P18" s="67">
        <v>171</v>
      </c>
      <c r="Q18" s="68">
        <f t="shared" si="6"/>
        <v>18.406889128094726</v>
      </c>
      <c r="R18" s="67">
        <v>40</v>
      </c>
      <c r="S18" s="69">
        <f t="shared" si="7"/>
        <v>4.3057050592034445</v>
      </c>
      <c r="T18" s="65">
        <v>1031</v>
      </c>
      <c r="U18" s="66">
        <f t="shared" si="11"/>
        <v>27.953484967206848</v>
      </c>
      <c r="V18" s="67">
        <v>368</v>
      </c>
      <c r="W18" s="68">
        <f t="shared" si="8"/>
        <v>35.693501454898154</v>
      </c>
      <c r="X18" s="67">
        <v>170</v>
      </c>
      <c r="Y18" s="68">
        <f t="shared" si="9"/>
        <v>16.488845780795344</v>
      </c>
      <c r="Z18" s="67">
        <v>80</v>
      </c>
      <c r="AA18" s="70">
        <f t="shared" si="10"/>
        <v>7.7594568380213387</v>
      </c>
      <c r="AB18" s="81">
        <f t="shared" si="12"/>
        <v>4390</v>
      </c>
      <c r="AC18" s="61"/>
      <c r="AE18" s="61"/>
    </row>
    <row r="19" spans="1:31" ht="21.95" customHeight="1" x14ac:dyDescent="0.25">
      <c r="A19" s="47">
        <v>13</v>
      </c>
      <c r="B19" s="48" t="s">
        <v>31</v>
      </c>
      <c r="C19" s="49">
        <v>2060791</v>
      </c>
      <c r="D19" s="50">
        <v>2723</v>
      </c>
      <c r="E19" s="51">
        <f t="shared" si="0"/>
        <v>132.13372923309544</v>
      </c>
      <c r="F19" s="52">
        <v>348</v>
      </c>
      <c r="G19" s="53">
        <f t="shared" si="1"/>
        <v>12.78002203452075</v>
      </c>
      <c r="H19" s="52">
        <v>1811</v>
      </c>
      <c r="I19" s="53">
        <f t="shared" si="2"/>
        <v>66.507528461255973</v>
      </c>
      <c r="J19" s="52">
        <v>132</v>
      </c>
      <c r="K19" s="53">
        <f t="shared" si="3"/>
        <v>4.8475945648182153</v>
      </c>
      <c r="L19" s="50">
        <v>366</v>
      </c>
      <c r="M19" s="51">
        <f t="shared" si="4"/>
        <v>17.760170730559285</v>
      </c>
      <c r="N19" s="52">
        <v>123</v>
      </c>
      <c r="O19" s="53">
        <f t="shared" si="5"/>
        <v>33.606557377049178</v>
      </c>
      <c r="P19" s="52">
        <v>71</v>
      </c>
      <c r="Q19" s="53">
        <f t="shared" si="6"/>
        <v>19.398907103825138</v>
      </c>
      <c r="R19" s="52">
        <v>12</v>
      </c>
      <c r="S19" s="54">
        <f t="shared" si="7"/>
        <v>3.278688524590164</v>
      </c>
      <c r="T19" s="50">
        <v>834</v>
      </c>
      <c r="U19" s="51">
        <f t="shared" si="11"/>
        <v>40.469897238487555</v>
      </c>
      <c r="V19" s="52">
        <v>217</v>
      </c>
      <c r="W19" s="53">
        <f t="shared" si="8"/>
        <v>26.019184652278177</v>
      </c>
      <c r="X19" s="52">
        <v>243</v>
      </c>
      <c r="Y19" s="53">
        <f t="shared" si="9"/>
        <v>29.136690647482013</v>
      </c>
      <c r="Z19" s="52">
        <v>116</v>
      </c>
      <c r="AA19" s="72">
        <f t="shared" si="10"/>
        <v>13.908872901678658</v>
      </c>
      <c r="AB19" s="73">
        <f t="shared" si="12"/>
        <v>1523</v>
      </c>
      <c r="AC19" s="61"/>
      <c r="AE19" s="61"/>
    </row>
    <row r="20" spans="1:31" ht="21.95" customHeight="1" x14ac:dyDescent="0.25">
      <c r="A20" s="62">
        <v>14</v>
      </c>
      <c r="B20" s="63" t="s">
        <v>32</v>
      </c>
      <c r="C20" s="64">
        <v>2042254</v>
      </c>
      <c r="D20" s="65">
        <v>2547</v>
      </c>
      <c r="E20" s="66">
        <f t="shared" si="0"/>
        <v>124.71514317024229</v>
      </c>
      <c r="F20" s="67">
        <v>337</v>
      </c>
      <c r="G20" s="68">
        <f t="shared" si="1"/>
        <v>13.231252453867295</v>
      </c>
      <c r="H20" s="67">
        <v>1670</v>
      </c>
      <c r="I20" s="68">
        <f t="shared" si="2"/>
        <v>65.567334118570869</v>
      </c>
      <c r="J20" s="67">
        <v>66</v>
      </c>
      <c r="K20" s="68">
        <f t="shared" si="3"/>
        <v>2.5912838633686692</v>
      </c>
      <c r="L20" s="65">
        <v>603</v>
      </c>
      <c r="M20" s="66">
        <f t="shared" si="4"/>
        <v>29.526199973166904</v>
      </c>
      <c r="N20" s="67">
        <v>170</v>
      </c>
      <c r="O20" s="68">
        <f t="shared" si="5"/>
        <v>28.192371475953564</v>
      </c>
      <c r="P20" s="67">
        <v>128</v>
      </c>
      <c r="Q20" s="68">
        <f t="shared" si="6"/>
        <v>21.227197346600331</v>
      </c>
      <c r="R20" s="67">
        <v>20</v>
      </c>
      <c r="S20" s="69">
        <f t="shared" si="7"/>
        <v>3.3167495854063018</v>
      </c>
      <c r="T20" s="65">
        <v>472</v>
      </c>
      <c r="U20" s="66">
        <f t="shared" si="11"/>
        <v>23.111718718631472</v>
      </c>
      <c r="V20" s="67">
        <v>166</v>
      </c>
      <c r="W20" s="68">
        <f t="shared" si="8"/>
        <v>35.16949152542373</v>
      </c>
      <c r="X20" s="67">
        <v>78</v>
      </c>
      <c r="Y20" s="68">
        <f t="shared" si="9"/>
        <v>16.525423728813561</v>
      </c>
      <c r="Z20" s="67">
        <v>44</v>
      </c>
      <c r="AA20" s="70">
        <f t="shared" si="10"/>
        <v>9.3220338983050848</v>
      </c>
      <c r="AB20" s="71">
        <f t="shared" si="12"/>
        <v>1472</v>
      </c>
      <c r="AC20" s="61"/>
      <c r="AE20" s="61"/>
    </row>
    <row r="21" spans="1:31" ht="21.95" customHeight="1" thickBot="1" x14ac:dyDescent="0.3">
      <c r="A21" s="74">
        <v>15</v>
      </c>
      <c r="B21" s="75" t="s">
        <v>33</v>
      </c>
      <c r="C21" s="49" t="s">
        <v>34</v>
      </c>
      <c r="D21" s="50">
        <v>303</v>
      </c>
      <c r="E21" s="51"/>
      <c r="F21" s="52">
        <v>61</v>
      </c>
      <c r="G21" s="53">
        <f t="shared" si="1"/>
        <v>20.132013201320131</v>
      </c>
      <c r="H21" s="52">
        <v>122</v>
      </c>
      <c r="I21" s="53">
        <f t="shared" si="2"/>
        <v>40.264026402640262</v>
      </c>
      <c r="J21" s="52">
        <v>42</v>
      </c>
      <c r="K21" s="53">
        <f t="shared" si="3"/>
        <v>13.861386138613861</v>
      </c>
      <c r="L21" s="50">
        <v>59</v>
      </c>
      <c r="M21" s="51"/>
      <c r="N21" s="52">
        <v>10</v>
      </c>
      <c r="O21" s="53">
        <f t="shared" si="5"/>
        <v>16.949152542372882</v>
      </c>
      <c r="P21" s="52">
        <v>21</v>
      </c>
      <c r="Q21" s="53">
        <f t="shared" si="6"/>
        <v>35.593220338983052</v>
      </c>
      <c r="R21" s="52">
        <v>2</v>
      </c>
      <c r="S21" s="54">
        <f t="shared" si="7"/>
        <v>3.3898305084745761</v>
      </c>
      <c r="T21" s="82">
        <v>242</v>
      </c>
      <c r="U21" s="83"/>
      <c r="V21" s="84">
        <v>51</v>
      </c>
      <c r="W21" s="85">
        <f t="shared" si="8"/>
        <v>21.074380165289256</v>
      </c>
      <c r="X21" s="84">
        <v>100</v>
      </c>
      <c r="Y21" s="85">
        <f t="shared" si="9"/>
        <v>41.32231404958678</v>
      </c>
      <c r="Z21" s="84">
        <v>40</v>
      </c>
      <c r="AA21" s="86">
        <f t="shared" si="10"/>
        <v>16.528925619834709</v>
      </c>
      <c r="AB21" s="87">
        <f t="shared" si="12"/>
        <v>2</v>
      </c>
      <c r="AC21" s="61"/>
      <c r="AE21" s="61"/>
    </row>
    <row r="22" spans="1:31" ht="21.95" customHeight="1" thickBot="1" x14ac:dyDescent="0.3">
      <c r="A22" s="88" t="s">
        <v>35</v>
      </c>
      <c r="B22" s="89"/>
      <c r="C22" s="90">
        <f>SUM(C7:C21)</f>
        <v>38236704</v>
      </c>
      <c r="D22" s="91">
        <f>SUM(D7:D21)</f>
        <v>75563</v>
      </c>
      <c r="E22" s="92">
        <f t="shared" si="0"/>
        <v>197.61902071894062</v>
      </c>
      <c r="F22" s="93">
        <f>SUM(F7:F21)</f>
        <v>11088</v>
      </c>
      <c r="G22" s="94">
        <f t="shared" si="1"/>
        <v>14.673848312004553</v>
      </c>
      <c r="H22" s="93">
        <f>SUM(H7:H21)</f>
        <v>45997</v>
      </c>
      <c r="I22" s="94">
        <f t="shared" si="2"/>
        <v>60.872384632690604</v>
      </c>
      <c r="J22" s="93">
        <f>SUM(J7:J21)</f>
        <v>3496</v>
      </c>
      <c r="K22" s="95">
        <f t="shared" si="3"/>
        <v>4.6266029670605988</v>
      </c>
      <c r="L22" s="96">
        <f>SUM(L7:L21)</f>
        <v>14342</v>
      </c>
      <c r="M22" s="92">
        <f>L22*100000/C22</f>
        <v>37.508463072549347</v>
      </c>
      <c r="N22" s="93">
        <f>SUM(N7:N21)</f>
        <v>4097</v>
      </c>
      <c r="O22" s="94">
        <f t="shared" si="5"/>
        <v>28.566448194115186</v>
      </c>
      <c r="P22" s="93">
        <f>SUM(P7:P21)</f>
        <v>3070</v>
      </c>
      <c r="Q22" s="94">
        <f t="shared" si="6"/>
        <v>21.405661692929858</v>
      </c>
      <c r="R22" s="93">
        <f>SUM(R7:R21)</f>
        <v>585</v>
      </c>
      <c r="S22" s="97">
        <f t="shared" si="7"/>
        <v>4.0789290196625299</v>
      </c>
      <c r="T22" s="98">
        <f>SUM(T7:T21)</f>
        <v>19755</v>
      </c>
      <c r="U22" s="99">
        <f t="shared" si="11"/>
        <v>51.665017988998216</v>
      </c>
      <c r="V22" s="100">
        <f>SUM(V7:V21)</f>
        <v>5224</v>
      </c>
      <c r="W22" s="101">
        <f t="shared" si="8"/>
        <v>26.443938243482663</v>
      </c>
      <c r="X22" s="100">
        <f>SUM(X7:X21)</f>
        <v>3945</v>
      </c>
      <c r="Y22" s="102">
        <f t="shared" si="9"/>
        <v>19.969627942293091</v>
      </c>
      <c r="Z22" s="100">
        <f>SUM(Z7:Z21)</f>
        <v>2787</v>
      </c>
      <c r="AA22" s="103">
        <f t="shared" si="10"/>
        <v>14.107820804859529</v>
      </c>
      <c r="AB22" s="104">
        <f>SUM(AB7:AB21)</f>
        <v>41466</v>
      </c>
      <c r="AC22" s="61"/>
      <c r="AE22" s="61"/>
    </row>
    <row r="24" spans="1:31" s="105" customFormat="1" ht="14.25" customHeight="1" x14ac:dyDescent="0.15"/>
    <row r="25" spans="1:31" s="105" customFormat="1" ht="15" customHeight="1" x14ac:dyDescent="0.15"/>
  </sheetData>
  <protectedRanges>
    <protectedRange sqref="C7:C21" name="Диапазон1_7" securityDescriptor="O:WDG:WDD:(A;;CC;;;WD)"/>
    <protectedRange sqref="B7:B21" name="Диапазон1_1" securityDescriptor="O:WDG:WDD:(A;;CC;;;WD)"/>
  </protectedRanges>
  <mergeCells count="27">
    <mergeCell ref="A22:B22"/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B1"/>
    <mergeCell ref="A2:AB2"/>
    <mergeCell ref="A3:E3"/>
    <mergeCell ref="AA3:AB3"/>
    <mergeCell ref="A4:A6"/>
    <mergeCell ref="B4:B6"/>
    <mergeCell ref="C4:C6"/>
    <mergeCell ref="D4:K4"/>
    <mergeCell ref="L4:S4"/>
    <mergeCell ref="T4:AA4"/>
  </mergeCells>
  <conditionalFormatting sqref="A24:V25 X24:XFD25">
    <cfRule type="containsText" dxfId="59" priority="4" operator="containsText" text="ЛОЖ">
      <formula>NOT(ISERROR(SEARCH("ЛОЖ",A24)))</formula>
    </cfRule>
  </conditionalFormatting>
  <conditionalFormatting sqref="A25:V25 X25:XFD25">
    <cfRule type="containsText" dxfId="58" priority="19" operator="containsText" text="лож">
      <formula>NOT(ISERROR(SEARCH("лож",A25)))</formula>
    </cfRule>
  </conditionalFormatting>
  <conditionalFormatting sqref="C8 C10">
    <cfRule type="cellIs" dxfId="57" priority="31" operator="lessThan">
      <formula>0</formula>
    </cfRule>
  </conditionalFormatting>
  <conditionalFormatting sqref="C12:C18 C20">
    <cfRule type="cellIs" dxfId="56" priority="28" operator="lessThan">
      <formula>0</formula>
    </cfRule>
  </conditionalFormatting>
  <conditionalFormatting sqref="E7:E21">
    <cfRule type="cellIs" dxfId="55" priority="18" stopIfTrue="1" operator="greaterThan">
      <formula>E$22</formula>
    </cfRule>
  </conditionalFormatting>
  <conditionalFormatting sqref="F7:F21 N7:N21">
    <cfRule type="cellIs" dxfId="54" priority="29" operator="notEqual">
      <formula>$P7+#REF!</formula>
    </cfRule>
    <cfRule type="cellIs" dxfId="53" priority="30" operator="notEqual">
      <formula>$P7+#REF!</formula>
    </cfRule>
  </conditionalFormatting>
  <conditionalFormatting sqref="G7:G21 O7:O21 Q7:Q21 K7:K22 I8:I21">
    <cfRule type="cellIs" dxfId="52" priority="33" operator="greaterThan">
      <formula>#REF!</formula>
    </cfRule>
  </conditionalFormatting>
  <conditionalFormatting sqref="G7:G21">
    <cfRule type="cellIs" dxfId="51" priority="17" operator="greaterThan">
      <formula>$G$22</formula>
    </cfRule>
  </conditionalFormatting>
  <conditionalFormatting sqref="H7:H21">
    <cfRule type="cellIs" dxfId="49" priority="24" operator="notEqual">
      <formula>$P7+#REF!</formula>
    </cfRule>
    <cfRule type="cellIs" dxfId="50" priority="25" operator="notEqual">
      <formula>$P7+#REF!</formula>
    </cfRule>
  </conditionalFormatting>
  <conditionalFormatting sqref="I7:I21">
    <cfRule type="cellIs" dxfId="48" priority="16" operator="greaterThan">
      <formula>$I$22</formula>
    </cfRule>
  </conditionalFormatting>
  <conditionalFormatting sqref="J7:J21">
    <cfRule type="cellIs" dxfId="47" priority="26" operator="notEqual">
      <formula>$P7+#REF!</formula>
    </cfRule>
    <cfRule type="cellIs" dxfId="46" priority="27" operator="notEqual">
      <formula>$P7+#REF!</formula>
    </cfRule>
  </conditionalFormatting>
  <conditionalFormatting sqref="K7:K22">
    <cfRule type="cellIs" dxfId="45" priority="15" operator="greaterThan">
      <formula>$K$22</formula>
    </cfRule>
  </conditionalFormatting>
  <conditionalFormatting sqref="M7:M21">
    <cfRule type="cellIs" dxfId="44" priority="32" stopIfTrue="1" operator="greaterThan">
      <formula>M$22</formula>
    </cfRule>
  </conditionalFormatting>
  <conditionalFormatting sqref="O7:O21">
    <cfRule type="cellIs" dxfId="43" priority="14" operator="greaterThan">
      <formula>$O$22</formula>
    </cfRule>
  </conditionalFormatting>
  <conditionalFormatting sqref="P7:P21">
    <cfRule type="cellIs" dxfId="41" priority="20" operator="notEqual">
      <formula>$P7+#REF!</formula>
    </cfRule>
    <cfRule type="cellIs" dxfId="42" priority="21" operator="notEqual">
      <formula>$P7+#REF!</formula>
    </cfRule>
  </conditionalFormatting>
  <conditionalFormatting sqref="Q7:Q21">
    <cfRule type="cellIs" dxfId="40" priority="13" operator="greaterThan">
      <formula>$Q$22</formula>
    </cfRule>
  </conditionalFormatting>
  <conditionalFormatting sqref="R7:R21">
    <cfRule type="cellIs" dxfId="38" priority="22" operator="notEqual">
      <formula>$P7+#REF!</formula>
    </cfRule>
    <cfRule type="cellIs" dxfId="39" priority="23" operator="notEqual">
      <formula>$P7+#REF!</formula>
    </cfRule>
  </conditionalFormatting>
  <conditionalFormatting sqref="S7:S21">
    <cfRule type="cellIs" dxfId="37" priority="12" operator="greaterThan">
      <formula>$S$22</formula>
    </cfRule>
  </conditionalFormatting>
  <conditionalFormatting sqref="U7:U21">
    <cfRule type="cellIs" dxfId="36" priority="11" stopIfTrue="1" operator="lessThan">
      <formula>U$22</formula>
    </cfRule>
  </conditionalFormatting>
  <conditionalFormatting sqref="V7:V21">
    <cfRule type="cellIs" dxfId="35" priority="9" operator="notEqual">
      <formula>$P7+#REF!</formula>
    </cfRule>
    <cfRule type="cellIs" dxfId="34" priority="10" operator="notEqual">
      <formula>$P7+#REF!</formula>
    </cfRule>
  </conditionalFormatting>
  <conditionalFormatting sqref="W7:W21">
    <cfRule type="cellIs" dxfId="33" priority="3" operator="greaterThan">
      <formula>$W$22</formula>
    </cfRule>
  </conditionalFormatting>
  <conditionalFormatting sqref="X7:X21">
    <cfRule type="cellIs" dxfId="31" priority="5" operator="notEqual">
      <formula>$P7+#REF!</formula>
    </cfRule>
    <cfRule type="cellIs" dxfId="32" priority="6" operator="notEqual">
      <formula>$P7+#REF!</formula>
    </cfRule>
  </conditionalFormatting>
  <conditionalFormatting sqref="Y7:Y21">
    <cfRule type="cellIs" dxfId="30" priority="2" operator="greaterThan">
      <formula>$Y$22</formula>
    </cfRule>
  </conditionalFormatting>
  <conditionalFormatting sqref="Z7:Z21">
    <cfRule type="cellIs" dxfId="28" priority="7" operator="notEqual">
      <formula>$P7+#REF!</formula>
    </cfRule>
    <cfRule type="cellIs" dxfId="29" priority="8" operator="notEqual">
      <formula>$P7+#REF!</formula>
    </cfRule>
  </conditionalFormatting>
  <conditionalFormatting sqref="AA7:AA21">
    <cfRule type="cellIs" dxfId="27" priority="1" operator="greaterThan">
      <formula>$AA$22</formula>
    </cfRule>
  </conditionalFormatting>
  <pageMargins left="0.39370078740157483" right="0.19685039370078741" top="0.59055118110236227" bottom="0.3937007874015748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Шахс-жинояти-2026</vt:lpstr>
      <vt:lpstr>аниқланадиган 2026</vt:lpstr>
      <vt:lpstr>Олдини олиш-2026</vt:lpstr>
      <vt:lpstr>жами-2026</vt:lpstr>
      <vt:lpstr>'аниқланадиган 2026'!Область_печати</vt:lpstr>
      <vt:lpstr>'жами-2026'!Область_печати</vt:lpstr>
      <vt:lpstr>'Олдини олиш-2026'!Область_печати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2026-09-23T05:42:48Z</dcterms:created>
  <dcterms:modified xsi:type="dcterms:W3CDTF">2026-09-23T05:43:44Z</dcterms:modified>
</cp:coreProperties>
</file>